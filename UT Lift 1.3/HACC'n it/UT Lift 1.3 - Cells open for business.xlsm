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highnet0-my.sharepoint.com/personal/wlynes_high_net/Documents/Calculators/UT Lift 1.3/HACC'n it/"/>
    </mc:Choice>
  </mc:AlternateContent>
  <xr:revisionPtr revIDLastSave="0" documentId="8_{8B8873BA-25D4-4D6A-8959-DBD2EF465A99}" xr6:coauthVersionLast="47" xr6:coauthVersionMax="47" xr10:uidLastSave="{00000000-0000-0000-0000-000000000000}"/>
  <bookViews>
    <workbookView xWindow="-108" yWindow="-108" windowWidth="23256" windowHeight="12576" activeTab="1" xr2:uid="{00000000-000D-0000-FFFF-FFFF00000000}"/>
  </bookViews>
  <sheets>
    <sheet name="About" sheetId="6" r:id="rId1"/>
    <sheet name="Girder Input" sheetId="2" r:id="rId2"/>
    <sheet name="C.G. &amp; Ideal Lift" sheetId="4" r:id="rId3"/>
    <sheet name="Calculated Behavior" sheetId="5" r:id="rId4"/>
    <sheet name="Graphs" sheetId="3" r:id="rId5"/>
  </sheets>
  <functionGroups builtInGroupCount="19"/>
  <definedNames>
    <definedName name="BFLT1">'Girder Input'!$B$33</definedName>
    <definedName name="BFLT2">'Girder Input'!$C$33</definedName>
    <definedName name="BFLT3">'Girder Input'!$D$33</definedName>
    <definedName name="BFLT4">'Girder Input'!$E$33</definedName>
    <definedName name="BFLT5">'Girder Input'!$F$33</definedName>
    <definedName name="BFLT6">'Girder Input'!$G$33</definedName>
    <definedName name="BFLT7">'Girder Input'!$H$33</definedName>
    <definedName name="BFLT8">'Girder Input'!$I$33</definedName>
    <definedName name="BFLW1">'Girder Input'!$B$32</definedName>
    <definedName name="BFLW2">'Girder Input'!$C$32</definedName>
    <definedName name="BFLW3">'Girder Input'!$D$32</definedName>
    <definedName name="BFLW4">'Girder Input'!$E$32</definedName>
    <definedName name="BFLW5">'Girder Input'!$F$32</definedName>
    <definedName name="BFLW6">'Girder Input'!$G$32</definedName>
    <definedName name="BFLW7">'Girder Input'!$H$32</definedName>
    <definedName name="BFLW8">'Girder Input'!$I$32</definedName>
    <definedName name="DEPTH1">'Girder Input'!$B$29</definedName>
    <definedName name="DEPTH2">'Girder Input'!$C$29</definedName>
    <definedName name="DEPTH3">'Girder Input'!$D$29</definedName>
    <definedName name="DEPTH4">'Girder Input'!$E$29</definedName>
    <definedName name="DEPTH5">'Girder Input'!$F$29</definedName>
    <definedName name="DEPTH6">'Girder Input'!$G$29</definedName>
    <definedName name="DEPTH7">'Girder Input'!$H$29</definedName>
    <definedName name="DEPTH8">'Girder Input'!$I$29</definedName>
    <definedName name="GirderName">'Girder Input'!$C$18</definedName>
    <definedName name="InOut1">'Girder Input'!$B$64</definedName>
    <definedName name="InOut10">'Girder Input'!$B$71</definedName>
    <definedName name="InOut11">'Girder Input'!$C$71</definedName>
    <definedName name="InOut12">'Girder Input'!$D$71</definedName>
    <definedName name="InOut13">'Girder Input'!$E$71</definedName>
    <definedName name="InOut14">'Girder Input'!$F$71</definedName>
    <definedName name="InOut15">'Girder Input'!$G$71</definedName>
    <definedName name="InOut16">'Girder Input'!$H$71</definedName>
    <definedName name="InOut17">'Girder Input'!$I$71</definedName>
    <definedName name="InOut18">'Girder Input'!$J$71</definedName>
    <definedName name="InOut2">'Girder Input'!$C$64</definedName>
    <definedName name="InOut3">'Girder Input'!$D$64</definedName>
    <definedName name="InOut4">'Girder Input'!$E$64</definedName>
    <definedName name="InOut5">'Girder Input'!$F$64</definedName>
    <definedName name="InOut6">'Girder Input'!$G$64</definedName>
    <definedName name="InOut7">'Girder Input'!$H$64</definedName>
    <definedName name="InOut8">'Girder Input'!$I$64</definedName>
    <definedName name="InOut9">'Girder Input'!$J$64</definedName>
    <definedName name="LengthXF1">'Girder Input'!$B$62</definedName>
    <definedName name="LengthXF10">'Girder Input'!$B$69</definedName>
    <definedName name="LengthXF11">'Girder Input'!$C$69</definedName>
    <definedName name="LengthXF12">'Girder Input'!$D$69</definedName>
    <definedName name="LengthXF13">'Girder Input'!$E$69</definedName>
    <definedName name="LengthXF14">'Girder Input'!$F$69</definedName>
    <definedName name="LengthXF15">'Girder Input'!$G$69</definedName>
    <definedName name="LengthXF16">'Girder Input'!$H$69</definedName>
    <definedName name="LengthXF17">'Girder Input'!$I$69</definedName>
    <definedName name="LengthXF18">'Girder Input'!$J$69</definedName>
    <definedName name="LengthXF2">'Girder Input'!$C$62</definedName>
    <definedName name="LengthXF3">'Girder Input'!$D$62</definedName>
    <definedName name="LengthXF4">'Girder Input'!$E$62</definedName>
    <definedName name="LengthXF5">'Girder Input'!$F$62</definedName>
    <definedName name="LengthXF6">'Girder Input'!$G$62</definedName>
    <definedName name="LengthXF7">'Girder Input'!$H$62</definedName>
    <definedName name="LengthXF8">'Girder Input'!$I$62</definedName>
    <definedName name="LengthXF9">'Girder Input'!$J$62</definedName>
    <definedName name="NumSections">'Girder Input'!$D$21</definedName>
    <definedName name="NumXFrames">'Girder Input'!$D$52</definedName>
    <definedName name="OLE_LINK1" localSheetId="1">'C.G. &amp; Ideal Lift'!$B$23</definedName>
    <definedName name="_xlnm.Print_Area" localSheetId="3">'Calculated Behavior'!$A$1:$L$92</definedName>
    <definedName name="_xlnm.Print_Area" localSheetId="1">'Girder Input'!$A$1:$L$95</definedName>
    <definedName name="_xlnm.Print_Area" localSheetId="4">Graphs!$A$1:$AA$65</definedName>
    <definedName name="ProjectName">'Girder Input'!$C$17</definedName>
    <definedName name="Radius">'Girder Input'!$D$23</definedName>
    <definedName name="RotationDeg">'Calculated Behavior'!$D$31</definedName>
    <definedName name="RotationRad">'Calculated Behavior'!$D$30</definedName>
    <definedName name="ScaleFactor">'Girder Input'!$H$22</definedName>
    <definedName name="SectionLength1">'Girder Input'!$B$36</definedName>
    <definedName name="SectionLength2">'Girder Input'!$C$36</definedName>
    <definedName name="SectionLength3">'Girder Input'!$D$36</definedName>
    <definedName name="SectionLength4">'Girder Input'!$E$36</definedName>
    <definedName name="SectionLength5">'Girder Input'!$F$36</definedName>
    <definedName name="SectionLength6">'Girder Input'!$G$36</definedName>
    <definedName name="SectionLength7">'Girder Input'!$H$36</definedName>
    <definedName name="SectionLength8">'Girder Input'!$I$36</definedName>
    <definedName name="TFLT1">'Girder Input'!$B$27</definedName>
    <definedName name="TFLT2">'Girder Input'!$C$27</definedName>
    <definedName name="TFLT3">'Girder Input'!$D$27</definedName>
    <definedName name="TFLT4">'Girder Input'!$E$27</definedName>
    <definedName name="TFLT5">'Girder Input'!$F$27</definedName>
    <definedName name="TFLT6">'Girder Input'!$G$27</definedName>
    <definedName name="TFLT7">'Girder Input'!$H$27</definedName>
    <definedName name="TFLT8">'Girder Input'!$I$27</definedName>
    <definedName name="TFLW1">'Girder Input'!$B$26</definedName>
    <definedName name="TFLW2">'Girder Input'!$C$26</definedName>
    <definedName name="TFLW3">'Girder Input'!$D$26</definedName>
    <definedName name="TFLW4">'Girder Input'!$E$26</definedName>
    <definedName name="TFLW5">'Girder Input'!$F$26</definedName>
    <definedName name="TFLW6">'Girder Input'!$G$26</definedName>
    <definedName name="TFLW7">'Girder Input'!$H$26</definedName>
    <definedName name="TFLW8">'Girder Input'!$I$26</definedName>
    <definedName name="Theta1">'Girder Input'!$B$38</definedName>
    <definedName name="Theta2">'Girder Input'!$C$38</definedName>
    <definedName name="Theta3">'Girder Input'!$D$38</definedName>
    <definedName name="Theta4">'Girder Input'!$E$38</definedName>
    <definedName name="Theta5">'Girder Input'!$F$38</definedName>
    <definedName name="Theta6">'Girder Input'!$G$38</definedName>
    <definedName name="Theta7">'Girder Input'!$H$38</definedName>
    <definedName name="Theta8">'Girder Input'!$I$38</definedName>
    <definedName name="ThetaXF1">'Girder Input'!$B$65</definedName>
    <definedName name="ThetaXF10">'Girder Input'!$B$72</definedName>
    <definedName name="ThetaXF11">'Girder Input'!$C$72</definedName>
    <definedName name="ThetaXF12">'Girder Input'!$D$72</definedName>
    <definedName name="ThetaXF13">'Girder Input'!$E$72</definedName>
    <definedName name="ThetaXF14">'Girder Input'!$F$72</definedName>
    <definedName name="ThetaXF15">'Girder Input'!$G$72</definedName>
    <definedName name="ThetaXF16">'Girder Input'!$H$72</definedName>
    <definedName name="ThetaXF17">'Girder Input'!$I$72</definedName>
    <definedName name="ThetaXF18">'Girder Input'!$J$72</definedName>
    <definedName name="ThetaXF2">'Girder Input'!$C$65</definedName>
    <definedName name="ThetaXF3">'Girder Input'!$D$65</definedName>
    <definedName name="ThetaXF4">'Girder Input'!$E$65</definedName>
    <definedName name="ThetaXF5">'Girder Input'!$F$65</definedName>
    <definedName name="ThetaXF6">'Girder Input'!$G$65</definedName>
    <definedName name="ThetaXF7">'Girder Input'!$H$65</definedName>
    <definedName name="ThetaXF8">'Girder Input'!$I$65</definedName>
    <definedName name="ThetaXF9">'Girder Input'!$J$65</definedName>
    <definedName name="Torsion1">'Girder Input'!$B$39</definedName>
    <definedName name="Torsion2">'Girder Input'!$C$39</definedName>
    <definedName name="Torsion3">'Girder Input'!$D$39</definedName>
    <definedName name="Torsion4">'Girder Input'!$E$39</definedName>
    <definedName name="Torsion5">'Girder Input'!$F$39</definedName>
    <definedName name="Torsion6">'Girder Input'!$G$39</definedName>
    <definedName name="Torsion7">'Girder Input'!$H$39</definedName>
    <definedName name="Torsion8">'Girder Input'!$I$39</definedName>
    <definedName name="Warping1">'Girder Input'!$B$40</definedName>
    <definedName name="Warping2">'Girder Input'!$C$40</definedName>
    <definedName name="Warping3">'Girder Input'!$D$40</definedName>
    <definedName name="Warping4">'Girder Input'!$E$40</definedName>
    <definedName name="Warping5">'Girder Input'!$F$40</definedName>
    <definedName name="Warping6">'Girder Input'!$G$40</definedName>
    <definedName name="Warping7">'Girder Input'!$H$40</definedName>
    <definedName name="Warping8">'Girder Input'!$I$40</definedName>
    <definedName name="WEBT1">'Girder Input'!$B$30</definedName>
    <definedName name="WEBT2">'Girder Input'!$C$30</definedName>
    <definedName name="WEBT3">'Girder Input'!$D$30</definedName>
    <definedName name="WEBT4">'Girder Input'!$E$30</definedName>
    <definedName name="WEBT5">'Girder Input'!$F$30</definedName>
    <definedName name="WEBT6">'Girder Input'!$G$30</definedName>
    <definedName name="WEBT7">'Girder Input'!$H$30</definedName>
    <definedName name="WEBT8">'Girder Input'!$I$30</definedName>
    <definedName name="Weight1">'Girder Input'!$B$37</definedName>
    <definedName name="Weight2">'Girder Input'!$C$37</definedName>
    <definedName name="Weight3">'Girder Input'!$D$37</definedName>
    <definedName name="Weight4">'Girder Input'!$E$37</definedName>
    <definedName name="Weight5">'Girder Input'!$F$37</definedName>
    <definedName name="Weight6">'Girder Input'!$G$37</definedName>
    <definedName name="Weight7">'Girder Input'!$G$37</definedName>
    <definedName name="Weight8">'Girder Input'!$H$37</definedName>
    <definedName name="WeightXF1">'Girder Input'!$B$63</definedName>
    <definedName name="WeightXF10">'Girder Input'!$B$70</definedName>
    <definedName name="WeightXF11">'Girder Input'!$C$70</definedName>
    <definedName name="WeightXF12">'Girder Input'!$D$70</definedName>
    <definedName name="WeightXF13">'Girder Input'!$E$70</definedName>
    <definedName name="WeightXF14">'Girder Input'!$F$70</definedName>
    <definedName name="WeightXF15">'Girder Input'!$G$70</definedName>
    <definedName name="WeightXF16">'Girder Input'!$H$70</definedName>
    <definedName name="WeightXF17">'Girder Input'!$I$70</definedName>
    <definedName name="WeightXF18">'Girder Input'!$J$70</definedName>
    <definedName name="WeightXF2">'Girder Input'!$C$63</definedName>
    <definedName name="WeightXF3">'Girder Input'!$D$63</definedName>
    <definedName name="WeightXF4">'Girder Input'!$E$63</definedName>
    <definedName name="WeightXF5">'Girder Input'!$F$63</definedName>
    <definedName name="WeightXF6">'Girder Input'!$G$63</definedName>
    <definedName name="WeightXF7">'Girder Input'!$H$63</definedName>
    <definedName name="WeightXF8">'Girder Input'!$I$63</definedName>
    <definedName name="WeightXF9">'Girder Input'!$J$63</definedName>
    <definedName name="XFrameSpacing">'Girder Input'!$D$54</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2" l="1"/>
  <c r="B37" i="2" s="1"/>
  <c r="P42" i="2" s="1"/>
  <c r="O807" i="3"/>
  <c r="O808" i="3"/>
  <c r="I37" i="2"/>
  <c r="H70" i="5"/>
  <c r="H71" i="5"/>
  <c r="I69" i="5"/>
  <c r="I68" i="5"/>
  <c r="H37" i="2"/>
  <c r="G37" i="2"/>
  <c r="U42" i="2" s="1"/>
  <c r="F37" i="2"/>
  <c r="T42" i="2" s="1"/>
  <c r="E37" i="2"/>
  <c r="S42" i="2" s="1"/>
  <c r="D37" i="2"/>
  <c r="R42" i="2" s="1"/>
  <c r="C37" i="2"/>
  <c r="Q42" i="2" s="1"/>
  <c r="AG56" i="2"/>
  <c r="Q26" i="5"/>
  <c r="Q10" i="5"/>
  <c r="O798" i="3"/>
  <c r="O799" i="3"/>
  <c r="O800" i="3"/>
  <c r="O801" i="3"/>
  <c r="O802" i="3"/>
  <c r="O803" i="3"/>
  <c r="O804" i="3"/>
  <c r="O805" i="3"/>
  <c r="O806"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B39" i="2"/>
  <c r="Q47" i="2"/>
  <c r="R47" i="2"/>
  <c r="S47" i="2"/>
  <c r="T47" i="2"/>
  <c r="U47" i="2"/>
  <c r="V47" i="2"/>
  <c r="W47" i="2"/>
  <c r="P47" i="2"/>
  <c r="I40" i="2"/>
  <c r="H40" i="2"/>
  <c r="G40" i="2"/>
  <c r="F40" i="2"/>
  <c r="E40" i="2"/>
  <c r="D40" i="2"/>
  <c r="C40" i="2"/>
  <c r="B40" i="2"/>
  <c r="I39" i="2"/>
  <c r="H39" i="2"/>
  <c r="H41" i="2" s="1"/>
  <c r="G39" i="2"/>
  <c r="F39" i="2"/>
  <c r="E39" i="2"/>
  <c r="D39" i="2"/>
  <c r="C39" i="2"/>
  <c r="O6" i="3"/>
  <c r="O7" i="3"/>
  <c r="A6" i="3"/>
  <c r="A7" i="3"/>
  <c r="A8" i="3"/>
  <c r="O8" i="3"/>
  <c r="A9" i="3"/>
  <c r="O9" i="3"/>
  <c r="A10" i="3"/>
  <c r="O10" i="3"/>
  <c r="A11" i="3"/>
  <c r="O11" i="3"/>
  <c r="A12" i="3"/>
  <c r="O12" i="3"/>
  <c r="A13" i="3"/>
  <c r="O13" i="3"/>
  <c r="A14" i="3"/>
  <c r="O14" i="3"/>
  <c r="A15" i="3"/>
  <c r="O15" i="3"/>
  <c r="A16" i="3"/>
  <c r="O16" i="3"/>
  <c r="A17" i="3"/>
  <c r="O17" i="3"/>
  <c r="A18" i="3"/>
  <c r="O18" i="3"/>
  <c r="A19" i="3"/>
  <c r="O19" i="3"/>
  <c r="A20" i="3"/>
  <c r="O20" i="3"/>
  <c r="A21" i="3"/>
  <c r="O21" i="3"/>
  <c r="A22" i="3"/>
  <c r="O22" i="3"/>
  <c r="A23" i="3"/>
  <c r="O23" i="3"/>
  <c r="A24" i="3"/>
  <c r="O24" i="3"/>
  <c r="A25" i="3"/>
  <c r="O25" i="3"/>
  <c r="A26" i="3"/>
  <c r="O26" i="3"/>
  <c r="A27" i="3"/>
  <c r="O27" i="3"/>
  <c r="A28" i="3"/>
  <c r="O28" i="3"/>
  <c r="A29" i="3"/>
  <c r="O29" i="3"/>
  <c r="A30" i="3"/>
  <c r="O30" i="3"/>
  <c r="A31" i="3"/>
  <c r="O31" i="3"/>
  <c r="A32" i="3"/>
  <c r="O32" i="3"/>
  <c r="A33" i="3"/>
  <c r="O33" i="3"/>
  <c r="A34" i="3"/>
  <c r="O34" i="3"/>
  <c r="A35" i="3"/>
  <c r="O35" i="3"/>
  <c r="A36" i="3"/>
  <c r="O36" i="3"/>
  <c r="A37" i="3"/>
  <c r="O37" i="3"/>
  <c r="A38" i="3"/>
  <c r="O38" i="3"/>
  <c r="A39" i="3"/>
  <c r="O39" i="3"/>
  <c r="A40" i="3"/>
  <c r="O40" i="3"/>
  <c r="A41" i="3"/>
  <c r="O41" i="3"/>
  <c r="A42" i="3"/>
  <c r="O42" i="3"/>
  <c r="A43" i="3"/>
  <c r="O43" i="3"/>
  <c r="A44" i="3"/>
  <c r="O44" i="3"/>
  <c r="A45" i="3"/>
  <c r="O45" i="3"/>
  <c r="A46"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J22" i="2"/>
  <c r="B25" i="2"/>
  <c r="C25" i="2"/>
  <c r="D25" i="2"/>
  <c r="E25" i="2"/>
  <c r="F25" i="2"/>
  <c r="G25" i="2"/>
  <c r="H25" i="2"/>
  <c r="I25" i="2"/>
  <c r="Q30" i="2"/>
  <c r="AB56" i="2" s="1"/>
  <c r="B35" i="2"/>
  <c r="C35" i="2"/>
  <c r="D35" i="2"/>
  <c r="E35" i="2"/>
  <c r="F35" i="2"/>
  <c r="G35" i="2"/>
  <c r="H35" i="2"/>
  <c r="I35" i="2"/>
  <c r="I38" i="2"/>
  <c r="I41" i="2"/>
  <c r="P41" i="2"/>
  <c r="Q41" i="2"/>
  <c r="R41" i="2"/>
  <c r="S41" i="2"/>
  <c r="T41" i="2"/>
  <c r="U41" i="2"/>
  <c r="V41" i="2"/>
  <c r="W41" i="2"/>
  <c r="V42" i="2"/>
  <c r="W42" i="2"/>
  <c r="W43" i="2"/>
  <c r="W44" i="2"/>
  <c r="W45" i="2"/>
  <c r="W46" i="2"/>
  <c r="W48" i="2"/>
  <c r="P53" i="2"/>
  <c r="Q53" i="2"/>
  <c r="R53" i="2"/>
  <c r="S53" i="2"/>
  <c r="T53" i="2"/>
  <c r="U53" i="2"/>
  <c r="V53" i="2"/>
  <c r="W53" i="2"/>
  <c r="X53" i="2"/>
  <c r="Y53" i="2"/>
  <c r="Z53" i="2"/>
  <c r="AA53" i="2"/>
  <c r="AB53" i="2"/>
  <c r="AC53" i="2"/>
  <c r="AD53" i="2"/>
  <c r="AE53" i="2"/>
  <c r="AF53" i="2"/>
  <c r="AG53" i="2"/>
  <c r="P54" i="2"/>
  <c r="P55" i="2" s="1"/>
  <c r="Q54" i="2"/>
  <c r="Q55" i="2" s="1"/>
  <c r="R54" i="2"/>
  <c r="R55" i="2" s="1"/>
  <c r="S54" i="2"/>
  <c r="S55" i="2" s="1"/>
  <c r="T54" i="2"/>
  <c r="T55" i="2" s="1"/>
  <c r="U54" i="2"/>
  <c r="U55" i="2" s="1"/>
  <c r="V54" i="2"/>
  <c r="V55" i="2" s="1"/>
  <c r="W54" i="2"/>
  <c r="W55" i="2" s="1"/>
  <c r="X54" i="2"/>
  <c r="X55" i="2" s="1"/>
  <c r="Y54" i="2"/>
  <c r="Y55" i="2" s="1"/>
  <c r="Z54" i="2"/>
  <c r="Z55" i="2" s="1"/>
  <c r="Z59" i="2" s="1"/>
  <c r="AA54" i="2"/>
  <c r="AA55" i="2" s="1"/>
  <c r="AB54" i="2"/>
  <c r="AB55" i="2" s="1"/>
  <c r="AC54" i="2"/>
  <c r="AC55" i="2" s="1"/>
  <c r="AD54" i="2"/>
  <c r="AD55" i="2" s="1"/>
  <c r="AE54" i="2"/>
  <c r="AE55" i="2" s="1"/>
  <c r="AF54" i="2"/>
  <c r="AF55" i="2" s="1"/>
  <c r="AG54" i="2"/>
  <c r="AG55" i="2" s="1"/>
  <c r="B61" i="2"/>
  <c r="C61" i="2"/>
  <c r="D61" i="2"/>
  <c r="E61" i="2"/>
  <c r="F61" i="2"/>
  <c r="G61" i="2"/>
  <c r="H61" i="2"/>
  <c r="I61" i="2"/>
  <c r="J61" i="2"/>
  <c r="B68" i="2"/>
  <c r="C68" i="2"/>
  <c r="D68" i="2"/>
  <c r="E68" i="2"/>
  <c r="F68" i="2"/>
  <c r="G68" i="2"/>
  <c r="H68" i="2"/>
  <c r="I68" i="2"/>
  <c r="J68" i="2"/>
  <c r="F72" i="2"/>
  <c r="G72" i="2"/>
  <c r="H72" i="2"/>
  <c r="I72" i="2"/>
  <c r="P79" i="2" s="1"/>
  <c r="J72" i="2"/>
  <c r="G41" i="2" l="1"/>
  <c r="F41" i="2"/>
  <c r="E41" i="2"/>
  <c r="B41" i="2"/>
  <c r="D4" i="4"/>
  <c r="Q56" i="2"/>
  <c r="Q57" i="2" s="1"/>
  <c r="C72" i="2"/>
  <c r="P56" i="2"/>
  <c r="P57" i="2" s="1"/>
  <c r="Z56" i="2"/>
  <c r="Y56" i="2"/>
  <c r="Y57" i="2" s="1"/>
  <c r="AA56" i="2"/>
  <c r="AA57" i="2" s="1"/>
  <c r="T56" i="2"/>
  <c r="I65" i="2"/>
  <c r="P43" i="2"/>
  <c r="B38" i="2" s="1"/>
  <c r="X56" i="2"/>
  <c r="E72" i="2"/>
  <c r="E65" i="2"/>
  <c r="D41" i="2"/>
  <c r="Q11" i="5"/>
  <c r="H72" i="5"/>
  <c r="I72" i="5"/>
  <c r="R11" i="5"/>
  <c r="AF56" i="2"/>
  <c r="AD56" i="2"/>
  <c r="AE56" i="2"/>
  <c r="P78" i="2"/>
  <c r="P77" i="2"/>
  <c r="P76" i="2"/>
  <c r="AF57" i="2"/>
  <c r="AF59" i="2"/>
  <c r="AD59" i="2"/>
  <c r="AD57" i="2"/>
  <c r="AG59" i="2"/>
  <c r="AG57" i="2"/>
  <c r="AE59" i="2"/>
  <c r="AE57" i="2"/>
  <c r="AC56" i="2"/>
  <c r="P75" i="2"/>
  <c r="Z57" i="2"/>
  <c r="Y59" i="2"/>
  <c r="AC59" i="2"/>
  <c r="AC57" i="2"/>
  <c r="C41" i="2"/>
  <c r="Q8" i="5"/>
  <c r="U56" i="2"/>
  <c r="U57" i="2" s="1"/>
  <c r="G65" i="2"/>
  <c r="C65" i="2"/>
  <c r="R8" i="5"/>
  <c r="S56" i="2"/>
  <c r="S57" i="2" s="1"/>
  <c r="W56" i="2"/>
  <c r="W57" i="2" s="1"/>
  <c r="Q31" i="2"/>
  <c r="R56" i="2"/>
  <c r="R57" i="2" s="1"/>
  <c r="V56" i="2"/>
  <c r="V57" i="2" s="1"/>
  <c r="D72" i="2"/>
  <c r="B72" i="2"/>
  <c r="J65" i="2"/>
  <c r="H65" i="2"/>
  <c r="F65" i="2"/>
  <c r="D65" i="2"/>
  <c r="B65" i="2"/>
  <c r="V59" i="2"/>
  <c r="T59" i="2"/>
  <c r="T57" i="2"/>
  <c r="R59" i="2"/>
  <c r="W59" i="2"/>
  <c r="U59" i="2"/>
  <c r="S59" i="2"/>
  <c r="AA59" i="2"/>
  <c r="Q59" i="2"/>
  <c r="AB57" i="2"/>
  <c r="AB59" i="2"/>
  <c r="X59" i="2"/>
  <c r="X57" i="2"/>
  <c r="D6" i="4"/>
  <c r="D7" i="4" s="1"/>
  <c r="P59" i="2"/>
  <c r="P44" i="2" l="1"/>
  <c r="P48" i="2"/>
  <c r="P74" i="2"/>
  <c r="P45" i="2"/>
  <c r="Q43" i="2"/>
  <c r="Q44" i="2" s="1"/>
  <c r="D42" i="4"/>
  <c r="P70" i="2"/>
  <c r="B67" i="2"/>
  <c r="P73" i="2"/>
  <c r="P71" i="2"/>
  <c r="P68" i="2"/>
  <c r="P72" i="2"/>
  <c r="Q20" i="5"/>
  <c r="Q21" i="5" s="1"/>
  <c r="P67" i="2"/>
  <c r="P66" i="2"/>
  <c r="P64" i="2"/>
  <c r="P63" i="2"/>
  <c r="P69" i="2"/>
  <c r="P65" i="2"/>
  <c r="Q45" i="2" l="1"/>
  <c r="Q48" i="2"/>
  <c r="R43" i="2"/>
  <c r="S43" i="2" s="1"/>
  <c r="S48" i="2" s="1"/>
  <c r="C38" i="2"/>
  <c r="E38" i="2"/>
  <c r="T43" i="2"/>
  <c r="S44" i="2"/>
  <c r="P80" i="2"/>
  <c r="B66" i="2" s="1"/>
  <c r="R48" i="2"/>
  <c r="R44" i="2"/>
  <c r="R45" i="2"/>
  <c r="D38" i="2" l="1"/>
  <c r="S45" i="2"/>
  <c r="T44" i="2"/>
  <c r="U43" i="2"/>
  <c r="V43" i="2" s="1"/>
  <c r="T48" i="2"/>
  <c r="F38" i="2"/>
  <c r="T45" i="2"/>
  <c r="H38" i="2" l="1"/>
  <c r="V44" i="2"/>
  <c r="V45" i="2"/>
  <c r="V48" i="2"/>
  <c r="U44" i="2"/>
  <c r="G38" i="2"/>
  <c r="U48" i="2"/>
  <c r="U45" i="2"/>
  <c r="X58" i="2"/>
  <c r="AG58" i="2"/>
  <c r="AE58" i="2"/>
  <c r="AF58" i="2"/>
  <c r="AD58" i="2"/>
  <c r="Z58" i="2"/>
  <c r="AA58" i="2"/>
  <c r="AB58" i="2"/>
  <c r="Y58" i="2"/>
  <c r="R58" i="2"/>
  <c r="AC58" i="2"/>
  <c r="U58" i="2"/>
  <c r="W58" i="2"/>
  <c r="V58" i="2"/>
  <c r="S58" i="2"/>
  <c r="P58" i="2"/>
  <c r="Q58" i="2"/>
  <c r="T58" i="2"/>
  <c r="R10" i="4" l="1"/>
  <c r="T46" i="2" s="1"/>
  <c r="D22" i="4"/>
  <c r="U46" i="2" l="1"/>
  <c r="S46" i="2"/>
  <c r="Q46" i="2"/>
  <c r="V46" i="2"/>
  <c r="P46" i="2"/>
  <c r="D10" i="4"/>
  <c r="R46" i="2"/>
  <c r="D13" i="4"/>
  <c r="D35" i="5" s="1"/>
  <c r="D16" i="4" l="1"/>
  <c r="D19" i="4" s="1"/>
  <c r="D34" i="5"/>
  <c r="B36" i="5" s="1"/>
  <c r="D31" i="4" l="1"/>
  <c r="S30" i="4"/>
  <c r="R14" i="5"/>
  <c r="R30" i="4"/>
  <c r="D33" i="4" s="1"/>
  <c r="D36" i="4" s="1"/>
  <c r="Q14" i="5"/>
  <c r="Q17" i="5" l="1"/>
  <c r="Q18" i="5" s="1"/>
  <c r="D30" i="5" s="1"/>
  <c r="L45" i="3" s="1"/>
  <c r="D30" i="4"/>
  <c r="Q22" i="5"/>
  <c r="R22" i="5" s="1"/>
  <c r="D39" i="4"/>
  <c r="L33" i="3"/>
  <c r="K11" i="3"/>
  <c r="L31" i="3"/>
  <c r="K32" i="3"/>
  <c r="L25" i="3"/>
  <c r="L32" i="3"/>
  <c r="L46" i="3"/>
  <c r="L34" i="3"/>
  <c r="K35" i="3"/>
  <c r="L42" i="3"/>
  <c r="K19" i="3"/>
  <c r="D26" i="5"/>
  <c r="D27" i="5" s="1"/>
  <c r="K15" i="3"/>
  <c r="L26" i="3"/>
  <c r="L28" i="3"/>
  <c r="K22" i="3"/>
  <c r="L23" i="3"/>
  <c r="K36" i="3"/>
  <c r="L16" i="3"/>
  <c r="K41" i="3"/>
  <c r="L40" i="3"/>
  <c r="L18" i="3"/>
  <c r="K27" i="3"/>
  <c r="L43" i="3"/>
  <c r="L7" i="3"/>
  <c r="K24" i="3"/>
  <c r="K6" i="3"/>
  <c r="L17" i="3"/>
  <c r="L11" i="3"/>
  <c r="L6" i="3"/>
  <c r="K8" i="3"/>
  <c r="K7" i="3"/>
  <c r="K16" i="3"/>
  <c r="L20" i="3"/>
  <c r="K45" i="3"/>
  <c r="L24" i="3" l="1"/>
  <c r="L19" i="3"/>
  <c r="K46" i="3"/>
  <c r="K42" i="3"/>
  <c r="L38" i="3"/>
  <c r="L21" i="3"/>
  <c r="D31" i="5"/>
  <c r="L22" i="3"/>
  <c r="L27" i="3"/>
  <c r="L29" i="3"/>
  <c r="K33" i="3"/>
  <c r="K44" i="3"/>
  <c r="K26" i="3"/>
  <c r="K18" i="3"/>
  <c r="L39" i="3"/>
  <c r="L44" i="3"/>
  <c r="K28" i="3"/>
  <c r="L37" i="3"/>
  <c r="K31" i="3"/>
  <c r="K10" i="3"/>
  <c r="L30" i="3"/>
  <c r="K12" i="3"/>
  <c r="K29" i="3"/>
  <c r="K23" i="3"/>
  <c r="L13" i="3"/>
  <c r="L8" i="3"/>
  <c r="K38" i="3"/>
  <c r="K43" i="3"/>
  <c r="L12" i="3"/>
  <c r="L35" i="3"/>
  <c r="L9" i="3"/>
  <c r="K20" i="3"/>
  <c r="L36" i="3"/>
  <c r="K14" i="3"/>
  <c r="L14" i="3"/>
  <c r="K40" i="3"/>
  <c r="L10" i="3"/>
  <c r="K17" i="3"/>
  <c r="K9" i="3"/>
  <c r="K21" i="3"/>
  <c r="L41" i="3"/>
  <c r="K30" i="3"/>
  <c r="K13" i="3"/>
  <c r="K25" i="3"/>
  <c r="K34" i="3"/>
  <c r="K39" i="3"/>
  <c r="K37" i="3"/>
  <c r="L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C17" authorId="0" shapeId="0" xr:uid="{00000000-0006-0000-0100-000001000000}">
      <text>
        <r>
          <rPr>
            <b/>
            <sz val="8"/>
            <color indexed="81"/>
            <rFont val="Tahoma"/>
            <family val="2"/>
          </rPr>
          <t>UT: Enter Project Name</t>
        </r>
      </text>
    </comment>
    <comment ref="C18" authorId="0" shapeId="0" xr:uid="{00000000-0006-0000-0100-000002000000}">
      <text>
        <r>
          <rPr>
            <b/>
            <sz val="8"/>
            <color indexed="81"/>
            <rFont val="Tahoma"/>
            <family val="2"/>
          </rPr>
          <t>UT: Enter Girder #</t>
        </r>
      </text>
    </comment>
    <comment ref="D21" authorId="0" shapeId="0" xr:uid="{00000000-0006-0000-0100-000003000000}">
      <text>
        <r>
          <rPr>
            <b/>
            <sz val="8"/>
            <color indexed="81"/>
            <rFont val="Tahoma"/>
            <family val="2"/>
          </rPr>
          <t>UT: Enter the Number of Cross Sections</t>
        </r>
      </text>
    </comment>
    <comment ref="H22" authorId="0" shapeId="0" xr:uid="{00000000-0006-0000-0100-000004000000}">
      <text>
        <r>
          <rPr>
            <b/>
            <sz val="8"/>
            <color indexed="81"/>
            <rFont val="Tahoma"/>
            <family val="2"/>
          </rPr>
          <t>UT:  Enter the Girder Scale Factor
This is Multiplied by the Girder's Unit Weight (</t>
        </r>
        <r>
          <rPr>
            <b/>
            <i/>
            <sz val="8"/>
            <color indexed="81"/>
            <rFont val="Tahoma"/>
            <family val="2"/>
          </rPr>
          <t>W</t>
        </r>
        <r>
          <rPr>
            <b/>
            <vertAlign val="subscript"/>
            <sz val="8"/>
            <color indexed="81"/>
            <rFont val="Tahoma"/>
            <family val="2"/>
          </rPr>
          <t>i</t>
        </r>
        <r>
          <rPr>
            <b/>
            <sz val="8"/>
            <color indexed="81"/>
            <rFont val="Tahoma"/>
            <family val="2"/>
          </rPr>
          <t>) to account for Shear Studs, Stiffeners, etc.</t>
        </r>
      </text>
    </comment>
    <comment ref="D23" authorId="0" shapeId="0" xr:uid="{00000000-0006-0000-0100-000005000000}">
      <text>
        <r>
          <rPr>
            <b/>
            <sz val="8"/>
            <color indexed="81"/>
            <rFont val="Tahoma"/>
            <family val="2"/>
          </rPr>
          <t xml:space="preserve">UT: (ft) Enter the Radius of Curvature </t>
        </r>
        <r>
          <rPr>
            <sz val="8"/>
            <color indexed="81"/>
            <rFont val="Tahoma"/>
            <family val="2"/>
          </rPr>
          <t xml:space="preserve">
</t>
        </r>
        <r>
          <rPr>
            <b/>
            <sz val="8"/>
            <color indexed="81"/>
            <rFont val="Tahoma"/>
            <family val="2"/>
          </rPr>
          <t xml:space="preserve">
(Sign Convention): Right Curve Looking Ahead Station is Positive Radius</t>
        </r>
      </text>
    </comment>
    <comment ref="B26" authorId="0" shapeId="0" xr:uid="{00000000-0006-0000-0100-000006000000}">
      <text>
        <r>
          <rPr>
            <b/>
            <sz val="8"/>
            <color indexed="81"/>
            <rFont val="Tahoma"/>
            <family val="2"/>
          </rPr>
          <t>UT: (in) Enter the Top Flange Width of Cross Section 1</t>
        </r>
      </text>
    </comment>
    <comment ref="B27" authorId="0" shapeId="0" xr:uid="{00000000-0006-0000-0100-000007000000}">
      <text>
        <r>
          <rPr>
            <b/>
            <sz val="8"/>
            <color indexed="81"/>
            <rFont val="Tahoma"/>
            <family val="2"/>
          </rPr>
          <t>UT: (in) Enter the Top Flange Thickness of Cross Section 1</t>
        </r>
      </text>
    </comment>
    <comment ref="B29" authorId="0" shapeId="0" xr:uid="{00000000-0006-0000-0100-000008000000}">
      <text>
        <r>
          <rPr>
            <b/>
            <sz val="8"/>
            <color indexed="81"/>
            <rFont val="Tahoma"/>
            <family val="2"/>
          </rPr>
          <t>UT: (in) Enter the Web Depth of Cross Section 1</t>
        </r>
      </text>
    </comment>
    <comment ref="B30" authorId="0" shapeId="0" xr:uid="{00000000-0006-0000-0100-000009000000}">
      <text>
        <r>
          <rPr>
            <b/>
            <sz val="8"/>
            <color indexed="81"/>
            <rFont val="Tahoma"/>
            <family val="2"/>
          </rPr>
          <t>UT: (in) Enter the Web  Thickness of Cross Section 1</t>
        </r>
      </text>
    </comment>
    <comment ref="B32" authorId="0" shapeId="0" xr:uid="{00000000-0006-0000-0100-00000A000000}">
      <text>
        <r>
          <rPr>
            <b/>
            <sz val="8"/>
            <color indexed="81"/>
            <rFont val="Tahoma"/>
            <family val="2"/>
          </rPr>
          <t>UT: (in) Enter the Bottom Flange Width of Cross Section 1</t>
        </r>
      </text>
    </comment>
    <comment ref="B33" authorId="0" shapeId="0" xr:uid="{00000000-0006-0000-0100-00000B000000}">
      <text>
        <r>
          <rPr>
            <b/>
            <sz val="8"/>
            <color indexed="81"/>
            <rFont val="Tahoma"/>
            <family val="2"/>
          </rPr>
          <t>UT: (in) Enter the Bottom Flange Thickness of Cross Section 1</t>
        </r>
      </text>
    </comment>
    <comment ref="B36" authorId="0" shapeId="0" xr:uid="{00000000-0006-0000-0100-00000C000000}">
      <text>
        <r>
          <rPr>
            <b/>
            <sz val="8"/>
            <color indexed="81"/>
            <rFont val="Tahoma"/>
            <family val="2"/>
          </rPr>
          <t>UT: (ft) Enter the Arc Length of Cross Section 1</t>
        </r>
      </text>
    </comment>
    <comment ref="D52" authorId="0" shapeId="0" xr:uid="{00000000-0006-0000-0100-00000D000000}">
      <text>
        <r>
          <rPr>
            <b/>
            <sz val="8"/>
            <color indexed="81"/>
            <rFont val="Tahoma"/>
            <family val="2"/>
          </rPr>
          <t>UT: Enter the Number of Cross Frame Locations.  
The Pictures to the Right all have 5 X-Frame Locations</t>
        </r>
      </text>
    </comment>
    <comment ref="H53" authorId="0" shapeId="0" xr:uid="{00000000-0006-0000-0100-00000E000000}">
      <text>
        <r>
          <rPr>
            <b/>
            <sz val="8"/>
            <color indexed="81"/>
            <rFont val="Tahoma"/>
            <family val="2"/>
          </rPr>
          <t>UT: (lbs) The Weight of 1 Cross Frame.  If Cross Frames are on Both Sides of the Girder the Program will Double the Weight at that Location
Use this Section Only if the Cross Frames are the Same Weight 
If Cross Frames are the Same Weight Input Data Individually</t>
        </r>
      </text>
    </comment>
    <comment ref="D54" authorId="0" shapeId="0" xr:uid="{00000000-0006-0000-0100-00000F000000}">
      <text>
        <r>
          <rPr>
            <b/>
            <sz val="8"/>
            <color indexed="81"/>
            <rFont val="Tahoma"/>
            <family val="2"/>
          </rPr>
          <t>UT: (ft) Enter the Cross Frame Width.  The C.G. of the X-Frame is assume to be s/2.</t>
        </r>
      </text>
    </comment>
    <comment ref="D57" authorId="0" shapeId="0" xr:uid="{00000000-0006-0000-0100-000010000000}">
      <text>
        <r>
          <rPr>
            <b/>
            <sz val="8"/>
            <color indexed="81"/>
            <rFont val="Tahoma"/>
            <family val="2"/>
          </rPr>
          <t>UT: (ft) The Equally Spaced Cross Frame Distance
Use this Section Only if the Cross Frames are Equally Spaced 
If Cross Frames are not Equally Spaced Input Data Individually</t>
        </r>
      </text>
    </comment>
    <comment ref="D59" authorId="0" shapeId="0" xr:uid="{00000000-0006-0000-0100-000011000000}">
      <text>
        <r>
          <rPr>
            <b/>
            <sz val="8"/>
            <color indexed="81"/>
            <rFont val="Tahoma"/>
            <family val="2"/>
          </rPr>
          <t xml:space="preserve">UT: (ft) Location of the 1st Cross Frame
Use this Section Only if the Cross Frames are Equally Spaced  </t>
        </r>
      </text>
    </comment>
    <comment ref="B62" authorId="0" shapeId="0" xr:uid="{00000000-0006-0000-0100-000012000000}">
      <text>
        <r>
          <rPr>
            <b/>
            <sz val="8"/>
            <color indexed="81"/>
            <rFont val="Tahoma"/>
            <family val="2"/>
          </rPr>
          <t>UT: (ft) Enter the Arc Length Location of the 1st Cross Frame</t>
        </r>
      </text>
    </comment>
    <comment ref="B63" authorId="0" shapeId="0" xr:uid="{00000000-0006-0000-0100-000013000000}">
      <text>
        <r>
          <rPr>
            <b/>
            <sz val="8"/>
            <color indexed="81"/>
            <rFont val="Tahoma"/>
            <family val="2"/>
          </rPr>
          <t>UT: (lbs) Enter the Weight of 1 Cross Frame
Locations with 2 Cross Frames (i.e. I/O) will have this Weight Multiplied by 2</t>
        </r>
      </text>
    </comment>
    <comment ref="B64" authorId="0" shapeId="0" xr:uid="{00000000-0006-0000-0100-000014000000}">
      <text>
        <r>
          <rPr>
            <b/>
            <sz val="8"/>
            <color indexed="81"/>
            <rFont val="Tahoma"/>
            <family val="2"/>
          </rPr>
          <t>UT: Specify if the Cross Frames are on the Inside (I), Outside (O), or Both Sides of the Girder (I/O)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D22" authorId="0" shapeId="0" xr:uid="{00000000-0006-0000-0200-000001000000}">
      <text>
        <r>
          <rPr>
            <b/>
            <sz val="8"/>
            <color indexed="81"/>
            <rFont val="Tahoma"/>
            <family val="2"/>
          </rPr>
          <t>UT: The Depth to the Center of Gravity is Given from the Top Flange - Web Interface</t>
        </r>
      </text>
    </comment>
    <comment ref="D39" authorId="0" shapeId="0" xr:uid="{00000000-0006-0000-0200-000002000000}">
      <text>
        <r>
          <rPr>
            <b/>
            <sz val="8"/>
            <color indexed="81"/>
            <rFont val="Tahoma"/>
            <family val="2"/>
          </rPr>
          <t>UT: This is the Chord Distance between Lift Pt 1 and Lift Pt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D17" authorId="0" shapeId="0" xr:uid="{00000000-0006-0000-0300-000001000000}">
      <text>
        <r>
          <rPr>
            <b/>
            <sz val="8"/>
            <color indexed="81"/>
            <rFont val="Tahoma"/>
            <family val="2"/>
          </rPr>
          <t>UT: (ft) Enter the Arc Length Location of the 1st Lift Point</t>
        </r>
      </text>
    </comment>
    <comment ref="D20" authorId="0" shapeId="0" xr:uid="{00000000-0006-0000-0300-000002000000}">
      <text>
        <r>
          <rPr>
            <b/>
            <sz val="8"/>
            <color indexed="81"/>
            <rFont val="Tahoma"/>
            <family val="2"/>
          </rPr>
          <t>UT: (ft) Enter the Chord Distance Between Lift Locations (Spreader Bar Length)</t>
        </r>
      </text>
    </comment>
    <comment ref="D23" authorId="0" shapeId="0" xr:uid="{00000000-0006-0000-0300-000003000000}">
      <text>
        <r>
          <rPr>
            <b/>
            <sz val="8"/>
            <color indexed="81"/>
            <rFont val="Tahoma"/>
            <family val="2"/>
          </rPr>
          <t>UT: (in) Enter the Distance from the Axis of Rotation to Top of the Girder. 
(A Good Assumption is 30 in, a Smaller H is Conservative)</t>
        </r>
      </text>
    </comment>
    <comment ref="D26" authorId="0" shapeId="0" xr:uid="{00000000-0006-0000-0300-000004000000}">
      <text>
        <r>
          <rPr>
            <b/>
            <sz val="8"/>
            <color indexed="81"/>
            <rFont val="Tahoma"/>
            <family val="2"/>
          </rPr>
          <t>UT: Eccentricity of the Center of Mass from the Line of Support
(Sign Convention): Positive sign is Right Side of Line of Support Looking Ahead Station</t>
        </r>
      </text>
    </comment>
    <comment ref="D31" authorId="0" shapeId="0" xr:uid="{00000000-0006-0000-0300-000005000000}">
      <text>
        <r>
          <rPr>
            <b/>
            <sz val="8"/>
            <color indexed="81"/>
            <rFont val="Tahoma"/>
            <family val="2"/>
          </rPr>
          <t>UT: This is the Calculated Rigid Body Girder Rotation once it is Lifted.
Sign Convension: Rotation about the Line of Support Looking Ahead Station. (Pictured: Negative Rotation)</t>
        </r>
      </text>
    </comment>
    <comment ref="C68" authorId="0" shapeId="0" xr:uid="{00000000-0006-0000-0300-000006000000}">
      <text>
        <r>
          <rPr>
            <b/>
            <sz val="8"/>
            <color indexed="81"/>
            <rFont val="Tahoma"/>
            <family val="2"/>
          </rPr>
          <t>UT: Total Rotation Including Rigid Body Rotation and Cross Sectional Twist</t>
        </r>
        <r>
          <rPr>
            <sz val="8"/>
            <color indexed="81"/>
            <rFont val="Tahoma"/>
            <family val="2"/>
          </rPr>
          <t xml:space="preserve">
</t>
        </r>
      </text>
    </comment>
    <comment ref="H68" authorId="0" shapeId="0" xr:uid="{00000000-0006-0000-0300-000007000000}">
      <text>
        <r>
          <rPr>
            <b/>
            <sz val="8"/>
            <color indexed="81"/>
            <rFont val="Tahoma"/>
            <family val="2"/>
          </rPr>
          <t xml:space="preserve">UT: Load Factor
AASHTO DL Only Load Factor
Recommended </t>
        </r>
        <r>
          <rPr>
            <b/>
            <sz val="8"/>
            <color indexed="81"/>
            <rFont val="Symbol"/>
            <family val="1"/>
            <charset val="2"/>
          </rPr>
          <t xml:space="preserve">g </t>
        </r>
        <r>
          <rPr>
            <b/>
            <sz val="8"/>
            <color indexed="81"/>
            <rFont val="Tahoma"/>
            <family val="2"/>
          </rPr>
          <t>= 1.4</t>
        </r>
      </text>
    </comment>
    <comment ref="H69" authorId="0" shapeId="0" xr:uid="{00000000-0006-0000-0300-000008000000}">
      <text>
        <r>
          <rPr>
            <b/>
            <sz val="8"/>
            <color indexed="81"/>
            <rFont val="Tahoma"/>
            <family val="2"/>
          </rPr>
          <t xml:space="preserve">UT: Reduction Factor
Recommended </t>
        </r>
        <r>
          <rPr>
            <b/>
            <sz val="8"/>
            <color indexed="81"/>
            <rFont val="Symbol"/>
            <family val="1"/>
            <charset val="2"/>
          </rPr>
          <t>f</t>
        </r>
        <r>
          <rPr>
            <b/>
            <sz val="8"/>
            <color indexed="81"/>
            <rFont val="Tahoma"/>
            <family val="2"/>
          </rPr>
          <t xml:space="preserve"> = 0.9</t>
        </r>
        <r>
          <rPr>
            <sz val="8"/>
            <color indexed="81"/>
            <rFont val="Tahoma"/>
            <family val="2"/>
          </rPr>
          <t xml:space="preserve">
</t>
        </r>
      </text>
    </comment>
    <comment ref="H70" authorId="0" shapeId="0" xr:uid="{00000000-0006-0000-0300-000009000000}">
      <text>
        <r>
          <rPr>
            <b/>
            <sz val="8"/>
            <color indexed="81"/>
            <rFont val="Tahoma"/>
            <family val="2"/>
          </rPr>
          <t>UT: Factored Maximum Moment Applied to Girder</t>
        </r>
      </text>
    </comment>
    <comment ref="H71" authorId="0" shapeId="0" xr:uid="{00000000-0006-0000-0300-00000A000000}">
      <text>
        <r>
          <rPr>
            <b/>
            <sz val="8"/>
            <color indexed="81"/>
            <rFont val="Tahoma"/>
            <family val="2"/>
          </rPr>
          <t>UT: phi*Cb*Mcr
Cb per Farris UT Thesis 2008
Mcr per Timoshenko LTB Equation</t>
        </r>
      </text>
    </comment>
    <comment ref="C77" authorId="0" shapeId="0" xr:uid="{00000000-0006-0000-0300-00000B000000}">
      <text>
        <r>
          <rPr>
            <b/>
            <sz val="8"/>
            <color indexed="81"/>
            <rFont val="Tahoma"/>
            <family val="2"/>
          </rPr>
          <t>UT: Total Rotation Including Rigid Body Rotation and Cross Sectional Twist</t>
        </r>
      </text>
    </comment>
    <comment ref="C91" authorId="0" shapeId="0" xr:uid="{00000000-0006-0000-0300-00000C000000}">
      <text>
        <r>
          <rPr>
            <b/>
            <sz val="8"/>
            <color indexed="81"/>
            <rFont val="Tahoma"/>
            <family val="2"/>
          </rPr>
          <t>UT: Total Rotation Including Rigid Body Rotation and Cross Sectional Twist</t>
        </r>
        <r>
          <rPr>
            <sz val="8"/>
            <color indexed="81"/>
            <rFont val="Tahoma"/>
            <family val="2"/>
          </rPr>
          <t xml:space="preserve">
</t>
        </r>
      </text>
    </comment>
  </commentList>
</comments>
</file>

<file path=xl/sharedStrings.xml><?xml version="1.0" encoding="utf-8"?>
<sst xmlns="http://schemas.openxmlformats.org/spreadsheetml/2006/main" count="260" uniqueCount="197">
  <si>
    <t>Number of Cross Sections:</t>
  </si>
  <si>
    <t xml:space="preserve">NUMSECTIONS = </t>
  </si>
  <si>
    <t xml:space="preserve">ft </t>
  </si>
  <si>
    <t>Total Length of Girder</t>
  </si>
  <si>
    <t>ft</t>
  </si>
  <si>
    <t>Girder Input:</t>
  </si>
  <si>
    <t>Total Girder Weight</t>
  </si>
  <si>
    <t xml:space="preserve">WEIGHT = </t>
  </si>
  <si>
    <t>lbs</t>
  </si>
  <si>
    <t>kips</t>
  </si>
  <si>
    <t>WORK</t>
  </si>
  <si>
    <t xml:space="preserve"> </t>
  </si>
  <si>
    <t>L</t>
  </si>
  <si>
    <t>W</t>
  </si>
  <si>
    <t>Distance along CL to Lift Pt. 1</t>
  </si>
  <si>
    <r>
      <rPr>
        <b/>
        <sz val="11"/>
        <color indexed="8"/>
        <rFont val="Symbol"/>
        <family val="1"/>
        <charset val="2"/>
      </rPr>
      <t>q</t>
    </r>
    <r>
      <rPr>
        <b/>
        <sz val="11"/>
        <color indexed="8"/>
        <rFont val="Calibri"/>
        <family val="2"/>
      </rPr>
      <t xml:space="preserve">' = </t>
    </r>
  </si>
  <si>
    <t>Lift Load (kips)</t>
  </si>
  <si>
    <t xml:space="preserve">LIFT_LOAD = </t>
  </si>
  <si>
    <t xml:space="preserve">TOTAL_LENGTH = </t>
  </si>
  <si>
    <t>Work</t>
  </si>
  <si>
    <t>Points on Lift Line</t>
  </si>
  <si>
    <t>Center of Mass</t>
  </si>
  <si>
    <r>
      <t>(x</t>
    </r>
    <r>
      <rPr>
        <vertAlign val="subscript"/>
        <sz val="11"/>
        <color indexed="8"/>
        <rFont val="Calibri"/>
        <family val="2"/>
      </rPr>
      <t>0</t>
    </r>
    <r>
      <rPr>
        <sz val="11"/>
        <color theme="1"/>
        <rFont val="Calibri"/>
        <family val="2"/>
        <scheme val="minor"/>
      </rPr>
      <t>, y</t>
    </r>
    <r>
      <rPr>
        <vertAlign val="subscript"/>
        <sz val="11"/>
        <color indexed="8"/>
        <rFont val="Calibri"/>
        <family val="2"/>
      </rPr>
      <t>0</t>
    </r>
    <r>
      <rPr>
        <sz val="11"/>
        <color theme="1"/>
        <rFont val="Calibri"/>
        <family val="2"/>
        <scheme val="minor"/>
      </rPr>
      <t>)</t>
    </r>
  </si>
  <si>
    <r>
      <t>(x</t>
    </r>
    <r>
      <rPr>
        <vertAlign val="subscript"/>
        <sz val="11"/>
        <color indexed="8"/>
        <rFont val="Calibri"/>
        <family val="2"/>
      </rPr>
      <t>1</t>
    </r>
    <r>
      <rPr>
        <sz val="11"/>
        <color theme="1"/>
        <rFont val="Calibri"/>
        <family val="2"/>
        <scheme val="minor"/>
      </rPr>
      <t>, y</t>
    </r>
    <r>
      <rPr>
        <vertAlign val="subscript"/>
        <sz val="11"/>
        <color indexed="8"/>
        <rFont val="Calibri"/>
        <family val="2"/>
      </rPr>
      <t>1</t>
    </r>
    <r>
      <rPr>
        <sz val="11"/>
        <color theme="1"/>
        <rFont val="Calibri"/>
        <family val="2"/>
        <scheme val="minor"/>
      </rPr>
      <t>)</t>
    </r>
  </si>
  <si>
    <r>
      <t>(x</t>
    </r>
    <r>
      <rPr>
        <vertAlign val="subscript"/>
        <sz val="11"/>
        <color indexed="8"/>
        <rFont val="Calibri"/>
        <family val="2"/>
      </rPr>
      <t>2</t>
    </r>
    <r>
      <rPr>
        <sz val="11"/>
        <color theme="1"/>
        <rFont val="Calibri"/>
        <family val="2"/>
        <scheme val="minor"/>
      </rPr>
      <t>, y</t>
    </r>
    <r>
      <rPr>
        <vertAlign val="subscript"/>
        <sz val="11"/>
        <color indexed="8"/>
        <rFont val="Calibri"/>
        <family val="2"/>
      </rPr>
      <t>2</t>
    </r>
    <r>
      <rPr>
        <sz val="11"/>
        <color theme="1"/>
        <rFont val="Calibri"/>
        <family val="2"/>
        <scheme val="minor"/>
      </rPr>
      <t>)</t>
    </r>
  </si>
  <si>
    <t>Eccentricity</t>
  </si>
  <si>
    <t>in</t>
  </si>
  <si>
    <t>Reactions</t>
  </si>
  <si>
    <t xml:space="preserve">Lift Point 1 = </t>
  </si>
  <si>
    <t>degrees</t>
  </si>
  <si>
    <t>rad</t>
  </si>
  <si>
    <t>Eccentricity Determined from the shortest distance between a line and point</t>
  </si>
  <si>
    <t>e =</t>
  </si>
  <si>
    <t>Center of Mass Projected on the Closest Point on Line of Support</t>
  </si>
  <si>
    <r>
      <t>(x'</t>
    </r>
    <r>
      <rPr>
        <sz val="11"/>
        <color theme="1"/>
        <rFont val="Calibri"/>
        <family val="2"/>
        <scheme val="minor"/>
      </rPr>
      <t>, y'</t>
    </r>
    <r>
      <rPr>
        <sz val="11"/>
        <color theme="1"/>
        <rFont val="Calibri"/>
        <family val="2"/>
        <scheme val="minor"/>
      </rPr>
      <t>)</t>
    </r>
  </si>
  <si>
    <t>m =</t>
  </si>
  <si>
    <t>m' =</t>
  </si>
  <si>
    <t>Cross Frame Input:</t>
  </si>
  <si>
    <t xml:space="preserve">NUMXFRAMES = </t>
  </si>
  <si>
    <t>I/O</t>
  </si>
  <si>
    <t>I</t>
  </si>
  <si>
    <r>
      <t xml:space="preserve">Wx </t>
    </r>
    <r>
      <rPr>
        <vertAlign val="subscript"/>
        <sz val="11"/>
        <color indexed="8"/>
        <rFont val="Calibri"/>
        <family val="2"/>
      </rPr>
      <t>j</t>
    </r>
  </si>
  <si>
    <r>
      <rPr>
        <sz val="11"/>
        <color theme="1"/>
        <rFont val="Calibri"/>
        <family val="2"/>
        <scheme val="minor"/>
      </rPr>
      <t xml:space="preserve">Lx </t>
    </r>
    <r>
      <rPr>
        <vertAlign val="subscript"/>
        <sz val="11"/>
        <color indexed="8"/>
        <rFont val="Calibri"/>
        <family val="2"/>
      </rPr>
      <t>j</t>
    </r>
  </si>
  <si>
    <r>
      <t xml:space="preserve">Wx </t>
    </r>
    <r>
      <rPr>
        <vertAlign val="subscript"/>
        <sz val="11"/>
        <color indexed="8"/>
        <rFont val="Calibri"/>
        <family val="2"/>
      </rPr>
      <t>j</t>
    </r>
    <r>
      <rPr>
        <sz val="11"/>
        <color theme="1"/>
        <rFont val="Calibri"/>
        <family val="2"/>
        <scheme val="minor"/>
      </rPr>
      <t xml:space="preserve"> [r (+/-) s/2] cos(</t>
    </r>
    <r>
      <rPr>
        <sz val="11"/>
        <color indexed="8"/>
        <rFont val="Symbol"/>
        <family val="1"/>
        <charset val="2"/>
      </rPr>
      <t>q</t>
    </r>
    <r>
      <rPr>
        <vertAlign val="subscript"/>
        <sz val="11"/>
        <color indexed="8"/>
        <rFont val="Calibri"/>
        <family val="2"/>
      </rPr>
      <t>bar</t>
    </r>
    <r>
      <rPr>
        <sz val="11"/>
        <color theme="1"/>
        <rFont val="Calibri"/>
        <family val="2"/>
        <scheme val="minor"/>
      </rPr>
      <t>-</t>
    </r>
    <r>
      <rPr>
        <sz val="11"/>
        <color indexed="8"/>
        <rFont val="Symbol"/>
        <family val="1"/>
        <charset val="2"/>
      </rPr>
      <t>q</t>
    </r>
    <r>
      <rPr>
        <sz val="11"/>
        <color theme="1"/>
        <rFont val="Calibri"/>
        <family val="2"/>
        <scheme val="minor"/>
      </rPr>
      <t>x</t>
    </r>
    <r>
      <rPr>
        <vertAlign val="subscript"/>
        <sz val="11"/>
        <color indexed="8"/>
        <rFont val="Calibri"/>
        <family val="2"/>
      </rPr>
      <t xml:space="preserve"> j</t>
    </r>
    <r>
      <rPr>
        <sz val="11"/>
        <color theme="1"/>
        <rFont val="Calibri"/>
        <family val="2"/>
        <scheme val="minor"/>
      </rPr>
      <t>)</t>
    </r>
  </si>
  <si>
    <t>O</t>
  </si>
  <si>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i-1</t>
    </r>
    <r>
      <rPr>
        <sz val="11"/>
        <color theme="1"/>
        <rFont val="Calibri"/>
        <family val="2"/>
        <scheme val="minor"/>
      </rPr>
      <t>)</t>
    </r>
  </si>
  <si>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vertAlign val="superscript"/>
        <sz val="11"/>
        <color indexed="8"/>
        <rFont val="Calibri"/>
        <family val="2"/>
      </rPr>
      <t>2</t>
    </r>
    <r>
      <rPr>
        <sz val="11"/>
        <color theme="1"/>
        <rFont val="Calibri"/>
        <family val="2"/>
        <scheme val="minor"/>
      </rPr>
      <t>-</t>
    </r>
    <r>
      <rPr>
        <sz val="11"/>
        <color indexed="8"/>
        <rFont val="Symbol"/>
        <family val="1"/>
        <charset val="2"/>
      </rPr>
      <t>q</t>
    </r>
    <r>
      <rPr>
        <vertAlign val="subscript"/>
        <sz val="11"/>
        <color indexed="8"/>
        <rFont val="Calibri"/>
        <family val="2"/>
      </rPr>
      <t>i-1</t>
    </r>
    <r>
      <rPr>
        <vertAlign val="superscript"/>
        <sz val="11"/>
        <color indexed="8"/>
        <rFont val="Calibri"/>
        <family val="2"/>
      </rPr>
      <t>2</t>
    </r>
    <r>
      <rPr>
        <sz val="11"/>
        <color theme="1"/>
        <rFont val="Calibri"/>
        <family val="2"/>
        <scheme val="minor"/>
      </rPr>
      <t>)</t>
    </r>
  </si>
  <si>
    <r>
      <t xml:space="preserve">Wx </t>
    </r>
    <r>
      <rPr>
        <vertAlign val="subscript"/>
        <sz val="11"/>
        <color indexed="8"/>
        <rFont val="Calibri"/>
        <family val="2"/>
      </rPr>
      <t>j</t>
    </r>
    <r>
      <rPr>
        <sz val="11"/>
        <color theme="1"/>
        <rFont val="Calibri"/>
        <family val="2"/>
        <scheme val="minor"/>
      </rPr>
      <t xml:space="preserve"> (</t>
    </r>
    <r>
      <rPr>
        <sz val="11"/>
        <color indexed="8"/>
        <rFont val="Symbol"/>
        <family val="1"/>
        <charset val="2"/>
      </rPr>
      <t>q</t>
    </r>
    <r>
      <rPr>
        <sz val="11"/>
        <color theme="1"/>
        <rFont val="Calibri"/>
        <family val="2"/>
        <scheme val="minor"/>
      </rPr>
      <t>x</t>
    </r>
    <r>
      <rPr>
        <vertAlign val="subscript"/>
        <sz val="11"/>
        <color indexed="8"/>
        <rFont val="Calibri"/>
        <family val="2"/>
      </rPr>
      <t xml:space="preserve"> j</t>
    </r>
    <r>
      <rPr>
        <sz val="11"/>
        <color theme="1"/>
        <rFont val="Calibri"/>
        <family val="2"/>
        <scheme val="minor"/>
      </rPr>
      <t>)</t>
    </r>
  </si>
  <si>
    <t>Cross Frame Width: s</t>
  </si>
  <si>
    <r>
      <rPr>
        <sz val="11"/>
        <color indexed="8"/>
        <rFont val="Calibri"/>
        <family val="2"/>
      </rPr>
      <t>Δ</t>
    </r>
    <r>
      <rPr>
        <sz val="11"/>
        <color theme="1"/>
        <rFont val="Calibri"/>
        <family val="2"/>
        <scheme val="minor"/>
      </rPr>
      <t>L Arc Length =</t>
    </r>
  </si>
  <si>
    <t>TFLW, TFLT</t>
  </si>
  <si>
    <t>WEBT DEPTH</t>
  </si>
  <si>
    <t>BFLW, BFLT</t>
  </si>
  <si>
    <r>
      <t>Length of Cross Sections (ft):</t>
    </r>
    <r>
      <rPr>
        <b/>
        <sz val="11"/>
        <color indexed="8"/>
        <rFont val="Calibri"/>
        <family val="2"/>
      </rPr>
      <t/>
    </r>
  </si>
  <si>
    <t>Weight per Unit Length (lb/ft):</t>
  </si>
  <si>
    <t>Top Flange Width &amp; Thickness (in):</t>
  </si>
  <si>
    <t>Web Thickness &amp; Depth (in):</t>
  </si>
  <si>
    <t>Bottome Flange Width &amp; Thickness (in):</t>
  </si>
  <si>
    <t>Angular Distance from Lift Pts. to</t>
  </si>
  <si>
    <t>Axis of Rotation above Top of Girder</t>
  </si>
  <si>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i-1</t>
    </r>
    <r>
      <rPr>
        <sz val="11"/>
        <color theme="1"/>
        <rFont val="Calibri"/>
        <family val="2"/>
        <scheme val="minor"/>
      </rPr>
      <t>)H</t>
    </r>
    <r>
      <rPr>
        <vertAlign val="subscript"/>
        <sz val="11"/>
        <color indexed="8"/>
        <rFont val="Calibri"/>
        <family val="2"/>
      </rPr>
      <t>C.G.</t>
    </r>
  </si>
  <si>
    <r>
      <t>H</t>
    </r>
    <r>
      <rPr>
        <vertAlign val="subscript"/>
        <sz val="11"/>
        <color indexed="8"/>
        <rFont val="Calibri"/>
        <family val="2"/>
      </rPr>
      <t>C.G.</t>
    </r>
  </si>
  <si>
    <r>
      <t xml:space="preserve">Wx </t>
    </r>
    <r>
      <rPr>
        <vertAlign val="subscript"/>
        <sz val="11"/>
        <color indexed="8"/>
        <rFont val="Calibri"/>
        <family val="2"/>
      </rPr>
      <t xml:space="preserve">j </t>
    </r>
    <r>
      <rPr>
        <sz val="11"/>
        <color theme="1"/>
        <rFont val="Calibri"/>
        <family val="2"/>
        <scheme val="minor"/>
      </rPr>
      <t>H</t>
    </r>
    <r>
      <rPr>
        <vertAlign val="subscript"/>
        <sz val="11"/>
        <color indexed="8"/>
        <rFont val="Calibri"/>
        <family val="2"/>
      </rPr>
      <t>C.G.</t>
    </r>
  </si>
  <si>
    <t>Spreader Bar Needed</t>
  </si>
  <si>
    <t>Project  :</t>
  </si>
  <si>
    <t>Girder #  :</t>
  </si>
  <si>
    <r>
      <rPr>
        <b/>
        <sz val="11"/>
        <color indexed="8"/>
        <rFont val="Symbol"/>
        <family val="1"/>
        <charset val="2"/>
      </rPr>
      <t xml:space="preserve"> </t>
    </r>
    <r>
      <rPr>
        <vertAlign val="subscript"/>
        <sz val="11"/>
        <color indexed="8"/>
        <rFont val="Calibri"/>
        <family val="2"/>
      </rPr>
      <t xml:space="preserve"> </t>
    </r>
    <r>
      <rPr>
        <sz val="11"/>
        <color theme="1"/>
        <rFont val="Calibri"/>
        <family val="2"/>
        <scheme val="minor"/>
      </rPr>
      <t xml:space="preserve">= </t>
    </r>
  </si>
  <si>
    <t xml:space="preserve"> = </t>
  </si>
  <si>
    <r>
      <rPr>
        <b/>
        <sz val="11"/>
        <color indexed="8"/>
        <rFont val="Calibri"/>
        <family val="2"/>
      </rPr>
      <t xml:space="preserve"> </t>
    </r>
    <r>
      <rPr>
        <sz val="11"/>
        <color theme="1"/>
        <rFont val="Calibri"/>
        <family val="2"/>
        <scheme val="minor"/>
      </rPr>
      <t xml:space="preserve">= </t>
    </r>
  </si>
  <si>
    <t>Chord Length Between Lift Pts.</t>
  </si>
  <si>
    <t xml:space="preserve">TFLT </t>
  </si>
  <si>
    <t>TFLW</t>
  </si>
  <si>
    <t>DEPTH</t>
  </si>
  <si>
    <t>WEBT</t>
  </si>
  <si>
    <t>BFLW</t>
  </si>
  <si>
    <t>BFLT</t>
  </si>
  <si>
    <t xml:space="preserve">E = </t>
  </si>
  <si>
    <t xml:space="preserve">G = </t>
  </si>
  <si>
    <t>ksi</t>
  </si>
  <si>
    <r>
      <rPr>
        <b/>
        <sz val="11"/>
        <color indexed="8"/>
        <rFont val="Calibri"/>
        <family val="2"/>
      </rPr>
      <t>J</t>
    </r>
    <r>
      <rPr>
        <b/>
        <vertAlign val="subscript"/>
        <sz val="11"/>
        <color indexed="8"/>
        <rFont val="Calibri"/>
        <family val="2"/>
      </rPr>
      <t>i</t>
    </r>
    <r>
      <rPr>
        <sz val="11"/>
        <color theme="1"/>
        <rFont val="Calibri"/>
        <family val="2"/>
        <scheme val="minor"/>
      </rPr>
      <t xml:space="preserve"> = </t>
    </r>
  </si>
  <si>
    <r>
      <t>C</t>
    </r>
    <r>
      <rPr>
        <b/>
        <vertAlign val="subscript"/>
        <sz val="11"/>
        <color indexed="8"/>
        <rFont val="Calibri"/>
        <family val="2"/>
      </rPr>
      <t>wi</t>
    </r>
    <r>
      <rPr>
        <b/>
        <sz val="11"/>
        <color indexed="8"/>
        <rFont val="Calibri"/>
        <family val="2"/>
      </rPr>
      <t xml:space="preserve"> = </t>
    </r>
  </si>
  <si>
    <t xml:space="preserve">k = </t>
  </si>
  <si>
    <t xml:space="preserve">e = </t>
  </si>
  <si>
    <t xml:space="preserve">abs(Radius) = </t>
  </si>
  <si>
    <t xml:space="preserve">curvedrt? = </t>
  </si>
  <si>
    <r>
      <t>W</t>
    </r>
    <r>
      <rPr>
        <vertAlign val="subscript"/>
        <sz val="11"/>
        <color indexed="8"/>
        <rFont val="Calibri"/>
        <family val="2"/>
      </rPr>
      <t>i</t>
    </r>
    <r>
      <rPr>
        <sz val="11"/>
        <color theme="1"/>
        <rFont val="Calibri"/>
        <family val="2"/>
        <scheme val="minor"/>
      </rPr>
      <t xml:space="preserve"> r^2[sin(</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bar</t>
    </r>
    <r>
      <rPr>
        <sz val="11"/>
        <color theme="1"/>
        <rFont val="Calibri"/>
        <family val="2"/>
        <scheme val="minor"/>
      </rPr>
      <t>)-sin(</t>
    </r>
    <r>
      <rPr>
        <sz val="11"/>
        <color indexed="8"/>
        <rFont val="Symbol"/>
        <family val="1"/>
        <charset val="2"/>
      </rPr>
      <t>q</t>
    </r>
    <r>
      <rPr>
        <vertAlign val="subscript"/>
        <sz val="11"/>
        <color indexed="8"/>
        <rFont val="Calibri"/>
        <family val="2"/>
      </rPr>
      <t>i-1</t>
    </r>
    <r>
      <rPr>
        <sz val="11"/>
        <color theme="1"/>
        <rFont val="Calibri"/>
        <family val="2"/>
        <scheme val="minor"/>
      </rPr>
      <t>-</t>
    </r>
    <r>
      <rPr>
        <sz val="11"/>
        <color indexed="8"/>
        <rFont val="Symbol"/>
        <family val="1"/>
        <charset val="2"/>
      </rPr>
      <t>q</t>
    </r>
    <r>
      <rPr>
        <vertAlign val="subscript"/>
        <sz val="11"/>
        <color indexed="8"/>
        <rFont val="Calibri"/>
        <family val="2"/>
      </rPr>
      <t>bar</t>
    </r>
    <r>
      <rPr>
        <sz val="11"/>
        <color theme="1"/>
        <rFont val="Calibri"/>
        <family val="2"/>
        <scheme val="minor"/>
      </rPr>
      <t>)]</t>
    </r>
  </si>
  <si>
    <t xml:space="preserve">Lift Point 2 = </t>
  </si>
  <si>
    <r>
      <rPr>
        <sz val="11"/>
        <color indexed="8"/>
        <rFont val="Symbol"/>
        <family val="1"/>
        <charset val="2"/>
      </rPr>
      <t>D</t>
    </r>
    <r>
      <rPr>
        <sz val="11"/>
        <color theme="1"/>
        <rFont val="Calibri"/>
        <family val="2"/>
        <scheme val="minor"/>
      </rPr>
      <t>X</t>
    </r>
  </si>
  <si>
    <r>
      <rPr>
        <sz val="11"/>
        <color indexed="8"/>
        <rFont val="Symbol"/>
        <family val="1"/>
        <charset val="2"/>
      </rPr>
      <t>D</t>
    </r>
    <r>
      <rPr>
        <sz val="11"/>
        <color theme="1"/>
        <rFont val="Calibri"/>
        <family val="2"/>
        <scheme val="minor"/>
      </rPr>
      <t>Z</t>
    </r>
  </si>
  <si>
    <r>
      <rPr>
        <sz val="11"/>
        <color indexed="8"/>
        <rFont val="Symbol"/>
        <family val="1"/>
        <charset val="2"/>
      </rPr>
      <t>q</t>
    </r>
    <r>
      <rPr>
        <vertAlign val="subscript"/>
        <sz val="11"/>
        <color indexed="8"/>
        <rFont val="Calibri"/>
        <family val="2"/>
      </rPr>
      <t>y</t>
    </r>
  </si>
  <si>
    <r>
      <rPr>
        <sz val="11"/>
        <color indexed="8"/>
        <rFont val="Symbol"/>
        <family val="1"/>
        <charset val="2"/>
      </rPr>
      <t>D q</t>
    </r>
    <r>
      <rPr>
        <vertAlign val="subscript"/>
        <sz val="11"/>
        <color indexed="8"/>
        <rFont val="Calibri"/>
        <family val="2"/>
      </rPr>
      <t>y</t>
    </r>
  </si>
  <si>
    <r>
      <rPr>
        <sz val="11"/>
        <color indexed="8"/>
        <rFont val="Symbol"/>
        <family val="1"/>
        <charset val="2"/>
      </rPr>
      <t>q</t>
    </r>
    <r>
      <rPr>
        <vertAlign val="subscript"/>
        <sz val="11"/>
        <color indexed="8"/>
        <rFont val="Calibri"/>
        <family val="2"/>
      </rPr>
      <t>X</t>
    </r>
  </si>
  <si>
    <r>
      <rPr>
        <sz val="11"/>
        <color indexed="8"/>
        <rFont val="Symbol"/>
        <family val="1"/>
        <charset val="2"/>
      </rPr>
      <t>q</t>
    </r>
    <r>
      <rPr>
        <vertAlign val="subscript"/>
        <sz val="11"/>
        <color indexed="8"/>
        <rFont val="Calibri"/>
        <family val="2"/>
      </rPr>
      <t>Z</t>
    </r>
  </si>
  <si>
    <t>y</t>
  </si>
  <si>
    <r>
      <rPr>
        <sz val="11"/>
        <color indexed="8"/>
        <rFont val="Symbol"/>
        <family val="1"/>
        <charset val="2"/>
      </rPr>
      <t>D</t>
    </r>
    <r>
      <rPr>
        <sz val="11"/>
        <color theme="1"/>
        <rFont val="Calibri"/>
        <family val="2"/>
        <scheme val="minor"/>
      </rPr>
      <t>X</t>
    </r>
    <r>
      <rPr>
        <vertAlign val="subscript"/>
        <sz val="11"/>
        <color indexed="8"/>
        <rFont val="Calibri"/>
        <family val="2"/>
      </rPr>
      <t>Bot</t>
    </r>
  </si>
  <si>
    <r>
      <rPr>
        <sz val="11"/>
        <color indexed="8"/>
        <rFont val="Symbol"/>
        <family val="1"/>
        <charset val="2"/>
      </rPr>
      <t>D</t>
    </r>
    <r>
      <rPr>
        <sz val="11"/>
        <color theme="1"/>
        <rFont val="Calibri"/>
        <family val="2"/>
        <scheme val="minor"/>
      </rPr>
      <t>X</t>
    </r>
    <r>
      <rPr>
        <vertAlign val="subscript"/>
        <sz val="11"/>
        <color indexed="8"/>
        <rFont val="Calibri"/>
        <family val="2"/>
      </rPr>
      <t>Top</t>
    </r>
  </si>
  <si>
    <t>Section B-B (Lift Clamp 1)</t>
  </si>
  <si>
    <t>Section C-C (Mid-Distance Between Lift Clamps)</t>
  </si>
  <si>
    <t>Section D-D (Lift Clamp 2)</t>
  </si>
  <si>
    <t>Section E-E (End of Girder)</t>
  </si>
  <si>
    <t>Section A-A (Beginning of Girder)</t>
  </si>
  <si>
    <t>* Positive Stresses are Tensile</t>
  </si>
  <si>
    <t>ksi*</t>
  </si>
  <si>
    <t>Angular Distance to Center of Gravity</t>
  </si>
  <si>
    <t>Distance along CL to Center of Gravity</t>
  </si>
  <si>
    <t>Radial Distance to Center of Gravity</t>
  </si>
  <si>
    <t>Offset of Center of Gravity from the CL</t>
  </si>
  <si>
    <t>Depth to Center of Gravity</t>
  </si>
  <si>
    <t xml:space="preserve">    Center of Gravity</t>
  </si>
  <si>
    <t>Behavior of Curved Girder During Lifting</t>
  </si>
  <si>
    <t>User Input</t>
  </si>
  <si>
    <t>Girder Segment Center of Gravity Calculations and Results</t>
  </si>
  <si>
    <t>Distance along CL to Lift Pt. 2</t>
  </si>
  <si>
    <t>Material Constants:</t>
  </si>
  <si>
    <r>
      <rPr>
        <b/>
        <sz val="11"/>
        <color indexed="8"/>
        <rFont val="Symbol"/>
        <family val="1"/>
        <charset val="2"/>
      </rPr>
      <t>r</t>
    </r>
    <r>
      <rPr>
        <sz val="11"/>
        <color theme="1"/>
        <rFont val="Calibri"/>
        <family val="2"/>
        <scheme val="minor"/>
      </rPr>
      <t xml:space="preserve"> = </t>
    </r>
  </si>
  <si>
    <t>Notable Results</t>
  </si>
  <si>
    <r>
      <t>Polar Moment of Inertia (in</t>
    </r>
    <r>
      <rPr>
        <vertAlign val="superscript"/>
        <sz val="11"/>
        <color indexed="8"/>
        <rFont val="Calibri"/>
        <family val="2"/>
      </rPr>
      <t>4</t>
    </r>
    <r>
      <rPr>
        <sz val="11"/>
        <color theme="1"/>
        <rFont val="Calibri"/>
        <family val="2"/>
        <scheme val="minor"/>
      </rPr>
      <t>):</t>
    </r>
  </si>
  <si>
    <r>
      <t>Warping Constant (in</t>
    </r>
    <r>
      <rPr>
        <vertAlign val="superscript"/>
        <sz val="11"/>
        <color indexed="8"/>
        <rFont val="Calibri"/>
        <family val="2"/>
      </rPr>
      <t>6</t>
    </r>
    <r>
      <rPr>
        <sz val="11"/>
        <color theme="1"/>
        <rFont val="Calibri"/>
        <family val="2"/>
        <scheme val="minor"/>
      </rPr>
      <t>):</t>
    </r>
  </si>
  <si>
    <r>
      <t>J</t>
    </r>
    <r>
      <rPr>
        <b/>
        <vertAlign val="subscript"/>
        <sz val="11"/>
        <color indexed="8"/>
        <rFont val="Calibri"/>
        <family val="2"/>
      </rPr>
      <t>i</t>
    </r>
  </si>
  <si>
    <r>
      <t>C</t>
    </r>
    <r>
      <rPr>
        <b/>
        <vertAlign val="subscript"/>
        <sz val="11"/>
        <color indexed="8"/>
        <rFont val="Calibri"/>
        <family val="2"/>
      </rPr>
      <t>wi</t>
    </r>
  </si>
  <si>
    <t>Internal Angle from Beginning (deg.) :</t>
  </si>
  <si>
    <r>
      <rPr>
        <sz val="11"/>
        <color indexed="8"/>
        <rFont val="Symbol"/>
        <family val="1"/>
        <charset val="2"/>
      </rPr>
      <t>q</t>
    </r>
    <r>
      <rPr>
        <vertAlign val="subscript"/>
        <sz val="11"/>
        <color indexed="8"/>
        <rFont val="Calibri"/>
        <family val="2"/>
      </rPr>
      <t>i</t>
    </r>
  </si>
  <si>
    <r>
      <rPr>
        <sz val="11"/>
        <color indexed="8"/>
        <rFont val="Symbol"/>
        <family val="1"/>
        <charset val="2"/>
      </rPr>
      <t>q</t>
    </r>
    <r>
      <rPr>
        <vertAlign val="subscript"/>
        <sz val="11"/>
        <color indexed="8"/>
        <rFont val="Calibri"/>
        <family val="2"/>
      </rPr>
      <t>xi</t>
    </r>
  </si>
  <si>
    <t xml:space="preserve">    = </t>
  </si>
  <si>
    <r>
      <rPr>
        <i/>
        <sz val="11"/>
        <color indexed="8"/>
        <rFont val="Calibri"/>
        <family val="2"/>
      </rPr>
      <t>OFFSET</t>
    </r>
    <r>
      <rPr>
        <sz val="11"/>
        <color theme="1"/>
        <rFont val="Calibri"/>
        <family val="2"/>
        <scheme val="minor"/>
      </rPr>
      <t xml:space="preserve"> = </t>
    </r>
  </si>
  <si>
    <r>
      <rPr>
        <b/>
        <i/>
        <sz val="11"/>
        <color indexed="8"/>
        <rFont val="Calibri"/>
        <family val="2"/>
      </rPr>
      <t>L</t>
    </r>
    <r>
      <rPr>
        <b/>
        <vertAlign val="subscript"/>
        <sz val="11"/>
        <color indexed="8"/>
        <rFont val="Calibri"/>
        <family val="2"/>
      </rPr>
      <t>i</t>
    </r>
    <r>
      <rPr>
        <sz val="11"/>
        <color theme="1"/>
        <rFont val="Calibri"/>
        <family val="2"/>
        <scheme val="minor"/>
      </rPr>
      <t xml:space="preserve"> = </t>
    </r>
  </si>
  <si>
    <r>
      <rPr>
        <b/>
        <i/>
        <sz val="11"/>
        <color indexed="8"/>
        <rFont val="Calibri"/>
        <family val="2"/>
      </rPr>
      <t>W</t>
    </r>
    <r>
      <rPr>
        <b/>
        <vertAlign val="subscript"/>
        <sz val="11"/>
        <color indexed="8"/>
        <rFont val="Calibri"/>
        <family val="2"/>
      </rPr>
      <t>i</t>
    </r>
    <r>
      <rPr>
        <sz val="11"/>
        <color theme="1"/>
        <rFont val="Calibri"/>
        <family val="2"/>
        <scheme val="minor"/>
      </rPr>
      <t xml:space="preserve"> = </t>
    </r>
  </si>
  <si>
    <r>
      <rPr>
        <b/>
        <i/>
        <sz val="11"/>
        <color indexed="8"/>
        <rFont val="Symbol"/>
        <family val="1"/>
        <charset val="2"/>
      </rPr>
      <t>q</t>
    </r>
    <r>
      <rPr>
        <b/>
        <vertAlign val="subscript"/>
        <sz val="11"/>
        <color indexed="8"/>
        <rFont val="Calibri"/>
        <family val="2"/>
      </rPr>
      <t>i</t>
    </r>
    <r>
      <rPr>
        <sz val="11"/>
        <color theme="1"/>
        <rFont val="Calibri"/>
        <family val="2"/>
        <scheme val="minor"/>
      </rPr>
      <t xml:space="preserve"> = </t>
    </r>
  </si>
  <si>
    <r>
      <rPr>
        <b/>
        <i/>
        <sz val="11"/>
        <color indexed="8"/>
        <rFont val="Calibri"/>
        <family val="2"/>
      </rPr>
      <t>L</t>
    </r>
    <r>
      <rPr>
        <b/>
        <vertAlign val="subscript"/>
        <sz val="11"/>
        <color indexed="8"/>
        <rFont val="Calibri"/>
        <family val="2"/>
      </rPr>
      <t>i</t>
    </r>
  </si>
  <si>
    <r>
      <rPr>
        <b/>
        <i/>
        <sz val="11"/>
        <color indexed="8"/>
        <rFont val="Calibri"/>
        <family val="2"/>
      </rPr>
      <t>W</t>
    </r>
    <r>
      <rPr>
        <b/>
        <vertAlign val="subscript"/>
        <sz val="11"/>
        <color indexed="8"/>
        <rFont val="Calibri"/>
        <family val="2"/>
      </rPr>
      <t>i</t>
    </r>
  </si>
  <si>
    <r>
      <rPr>
        <b/>
        <i/>
        <sz val="11"/>
        <color indexed="8"/>
        <rFont val="Symbol"/>
        <family val="1"/>
        <charset val="2"/>
      </rPr>
      <t>q</t>
    </r>
    <r>
      <rPr>
        <b/>
        <vertAlign val="subscript"/>
        <sz val="11"/>
        <color indexed="8"/>
        <rFont val="Calibri"/>
        <family val="2"/>
      </rPr>
      <t>i</t>
    </r>
  </si>
  <si>
    <r>
      <rPr>
        <b/>
        <i/>
        <sz val="11"/>
        <color indexed="8"/>
        <rFont val="Calibri"/>
        <family val="2"/>
      </rPr>
      <t>s</t>
    </r>
    <r>
      <rPr>
        <sz val="11"/>
        <color theme="1"/>
        <rFont val="Calibri"/>
        <family val="2"/>
        <scheme val="minor"/>
      </rPr>
      <t xml:space="preserve"> = </t>
    </r>
  </si>
  <si>
    <r>
      <rPr>
        <b/>
        <i/>
        <sz val="11"/>
        <color indexed="8"/>
        <rFont val="Calibri"/>
        <family val="2"/>
      </rPr>
      <t>Lx</t>
    </r>
    <r>
      <rPr>
        <b/>
        <sz val="11"/>
        <color indexed="8"/>
        <rFont val="Calibri"/>
        <family val="2"/>
      </rPr>
      <t xml:space="preserve"> </t>
    </r>
    <r>
      <rPr>
        <b/>
        <vertAlign val="subscript"/>
        <sz val="11"/>
        <color indexed="8"/>
        <rFont val="Calibri"/>
        <family val="2"/>
      </rPr>
      <t>j</t>
    </r>
    <r>
      <rPr>
        <sz val="11"/>
        <color theme="1"/>
        <rFont val="Calibri"/>
        <family val="2"/>
        <scheme val="minor"/>
      </rPr>
      <t xml:space="preserve"> = </t>
    </r>
  </si>
  <si>
    <r>
      <rPr>
        <b/>
        <i/>
        <sz val="11"/>
        <color indexed="8"/>
        <rFont val="Symbol"/>
        <family val="1"/>
        <charset val="2"/>
      </rPr>
      <t>q</t>
    </r>
    <r>
      <rPr>
        <b/>
        <i/>
        <sz val="11"/>
        <color indexed="8"/>
        <rFont val="Calibri"/>
        <family val="2"/>
      </rPr>
      <t>x</t>
    </r>
    <r>
      <rPr>
        <b/>
        <vertAlign val="subscript"/>
        <sz val="11"/>
        <color indexed="8"/>
        <rFont val="Calibri"/>
        <family val="2"/>
      </rPr>
      <t xml:space="preserve"> j</t>
    </r>
    <r>
      <rPr>
        <sz val="11"/>
        <color theme="1"/>
        <rFont val="Calibri"/>
        <family val="2"/>
        <scheme val="minor"/>
      </rPr>
      <t xml:space="preserve"> = </t>
    </r>
  </si>
  <si>
    <r>
      <rPr>
        <b/>
        <i/>
        <sz val="11"/>
        <color indexed="8"/>
        <rFont val="Calibri"/>
        <family val="2"/>
      </rPr>
      <t>R</t>
    </r>
    <r>
      <rPr>
        <sz val="11"/>
        <color theme="1"/>
        <rFont val="Calibri"/>
        <family val="2"/>
        <scheme val="minor"/>
      </rPr>
      <t xml:space="preserve"> = </t>
    </r>
  </si>
  <si>
    <r>
      <t xml:space="preserve">Radius of Curvature (ft): </t>
    </r>
    <r>
      <rPr>
        <b/>
        <i/>
        <sz val="11"/>
        <color indexed="8"/>
        <rFont val="Calibri"/>
        <family val="2"/>
      </rPr>
      <t>R</t>
    </r>
  </si>
  <si>
    <r>
      <rPr>
        <b/>
        <i/>
        <sz val="11"/>
        <color indexed="8"/>
        <rFont val="Symbol"/>
        <family val="1"/>
        <charset val="2"/>
      </rPr>
      <t>q</t>
    </r>
    <r>
      <rPr>
        <b/>
        <sz val="11"/>
        <color indexed="8"/>
        <rFont val="Calibri"/>
        <family val="2"/>
      </rPr>
      <t xml:space="preserve">' = </t>
    </r>
  </si>
  <si>
    <r>
      <rPr>
        <b/>
        <i/>
        <sz val="11"/>
        <color indexed="8"/>
        <rFont val="Calibri"/>
        <family val="2"/>
      </rPr>
      <t>L</t>
    </r>
    <r>
      <rPr>
        <b/>
        <sz val="11"/>
        <color indexed="8"/>
        <rFont val="Calibri"/>
        <family val="2"/>
      </rPr>
      <t xml:space="preserve"> </t>
    </r>
    <r>
      <rPr>
        <b/>
        <vertAlign val="subscript"/>
        <sz val="11"/>
        <color indexed="8"/>
        <rFont val="Calibri"/>
        <family val="2"/>
      </rPr>
      <t>Lift 1</t>
    </r>
    <r>
      <rPr>
        <b/>
        <sz val="11"/>
        <color indexed="8"/>
        <rFont val="Calibri"/>
        <family val="2"/>
      </rPr>
      <t xml:space="preserve"> =</t>
    </r>
  </si>
  <si>
    <r>
      <rPr>
        <b/>
        <i/>
        <sz val="11"/>
        <color indexed="8"/>
        <rFont val="Calibri"/>
        <family val="2"/>
      </rPr>
      <t>L</t>
    </r>
    <r>
      <rPr>
        <b/>
        <sz val="11"/>
        <color indexed="8"/>
        <rFont val="Calibri"/>
        <family val="2"/>
      </rPr>
      <t xml:space="preserve"> </t>
    </r>
    <r>
      <rPr>
        <b/>
        <vertAlign val="subscript"/>
        <sz val="11"/>
        <color indexed="8"/>
        <rFont val="Calibri"/>
        <family val="2"/>
      </rPr>
      <t>Lift 2</t>
    </r>
    <r>
      <rPr>
        <b/>
        <sz val="11"/>
        <color indexed="8"/>
        <rFont val="Calibri"/>
        <family val="2"/>
      </rPr>
      <t xml:space="preserve"> = </t>
    </r>
  </si>
  <si>
    <r>
      <rPr>
        <b/>
        <sz val="11"/>
        <color indexed="8"/>
        <rFont val="Calibri"/>
        <family val="2"/>
      </rPr>
      <t>Δ</t>
    </r>
    <r>
      <rPr>
        <b/>
        <i/>
        <sz val="11"/>
        <color indexed="8"/>
        <rFont val="Calibri"/>
        <family val="2"/>
      </rPr>
      <t>L</t>
    </r>
    <r>
      <rPr>
        <b/>
        <sz val="11"/>
        <color indexed="8"/>
        <rFont val="Calibri"/>
        <family val="2"/>
      </rPr>
      <t xml:space="preserve"> =</t>
    </r>
  </si>
  <si>
    <r>
      <rPr>
        <b/>
        <i/>
        <sz val="11"/>
        <color indexed="8"/>
        <rFont val="Calibri"/>
        <family val="2"/>
      </rPr>
      <t>H</t>
    </r>
    <r>
      <rPr>
        <b/>
        <sz val="11"/>
        <color indexed="8"/>
        <rFont val="Calibri"/>
        <family val="2"/>
      </rPr>
      <t xml:space="preserve"> =</t>
    </r>
  </si>
  <si>
    <r>
      <rPr>
        <b/>
        <i/>
        <sz val="11"/>
        <color indexed="8"/>
        <rFont val="Symbol"/>
        <family val="1"/>
        <charset val="2"/>
      </rPr>
      <t>q</t>
    </r>
    <r>
      <rPr>
        <b/>
        <vertAlign val="subscript"/>
        <sz val="11"/>
        <color indexed="8"/>
        <rFont val="Times New Roman"/>
        <family val="1"/>
      </rPr>
      <t>Rigid</t>
    </r>
    <r>
      <rPr>
        <b/>
        <sz val="11"/>
        <color indexed="8"/>
        <rFont val="Calibri"/>
        <family val="2"/>
      </rPr>
      <t xml:space="preserve"> = </t>
    </r>
  </si>
  <si>
    <t>Critical Buckling Load Estimate</t>
  </si>
  <si>
    <r>
      <rPr>
        <b/>
        <sz val="11"/>
        <color indexed="8"/>
        <rFont val="Symbol"/>
        <family val="1"/>
        <charset val="2"/>
      </rPr>
      <t>q</t>
    </r>
    <r>
      <rPr>
        <b/>
        <vertAlign val="subscript"/>
        <sz val="11"/>
        <color indexed="8"/>
        <rFont val="Calibri"/>
        <family val="2"/>
      </rPr>
      <t>Total</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</si>
  <si>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Lt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</si>
  <si>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Rt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</si>
  <si>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Bot Lt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</si>
  <si>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Bot Rt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</si>
  <si>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Lt</t>
    </r>
    <r>
      <rPr>
        <b/>
        <sz val="11"/>
        <color indexed="8"/>
        <rFont val="Calibri"/>
        <family val="2"/>
      </rPr>
      <t xml:space="preserve"> </t>
    </r>
    <r>
      <rPr>
        <sz val="11"/>
        <color theme="1"/>
        <rFont val="Calibri"/>
        <family val="2"/>
        <scheme val="minor"/>
      </rPr>
      <t xml:space="preserve">= </t>
    </r>
  </si>
  <si>
    <t>kip-ft</t>
  </si>
  <si>
    <t xml:space="preserve">Spacing = </t>
  </si>
  <si>
    <t xml:space="preserve">1st X-Frame Loc. = </t>
  </si>
  <si>
    <r>
      <t>Location of the 1</t>
    </r>
    <r>
      <rPr>
        <vertAlign val="superscript"/>
        <sz val="11"/>
        <color indexed="8"/>
        <rFont val="Calibri"/>
        <family val="2"/>
      </rPr>
      <t>st</t>
    </r>
    <r>
      <rPr>
        <sz val="11"/>
        <color theme="1"/>
        <rFont val="Calibri"/>
        <family val="2"/>
        <scheme val="minor"/>
      </rPr>
      <t xml:space="preserve"> Cross Frame:</t>
    </r>
  </si>
  <si>
    <t>Uniformly Spaced Cross Frames:</t>
  </si>
  <si>
    <t>Curve, Outside of Curve, or Both</t>
  </si>
  <si>
    <t xml:space="preserve">   All Cross Frames on Inside of </t>
  </si>
  <si>
    <t>Torque</t>
  </si>
  <si>
    <t>Distance along girder</t>
  </si>
  <si>
    <t>STITH (deg)</t>
  </si>
  <si>
    <r>
      <t>lbs/ft</t>
    </r>
    <r>
      <rPr>
        <vertAlign val="superscript"/>
        <sz val="11"/>
        <color indexed="8"/>
        <rFont val="Calibri"/>
        <family val="2"/>
      </rPr>
      <t>3</t>
    </r>
  </si>
  <si>
    <t>Dr. Todd Helwig</t>
  </si>
  <si>
    <r>
      <rPr>
        <sz val="11"/>
        <color indexed="8"/>
        <rFont val="Symbol"/>
        <family val="1"/>
        <charset val="2"/>
      </rPr>
      <t>f</t>
    </r>
    <r>
      <rPr>
        <sz val="11"/>
        <color theme="1"/>
        <rFont val="Calibri"/>
        <family val="2"/>
        <scheme val="minor"/>
      </rPr>
      <t xml:space="preserve"> </t>
    </r>
    <r>
      <rPr>
        <b/>
        <sz val="11"/>
        <color indexed="8"/>
        <rFont val="Calibri"/>
        <family val="2"/>
      </rPr>
      <t>M</t>
    </r>
    <r>
      <rPr>
        <b/>
        <vertAlign val="subscript"/>
        <sz val="11"/>
        <color indexed="8"/>
        <rFont val="Calibri"/>
        <family val="2"/>
      </rPr>
      <t>cr</t>
    </r>
    <r>
      <rPr>
        <sz val="11"/>
        <color theme="1"/>
        <rFont val="Calibri"/>
        <family val="2"/>
        <scheme val="minor"/>
      </rPr>
      <t xml:space="preserve"> = </t>
    </r>
  </si>
  <si>
    <r>
      <rPr>
        <sz val="11"/>
        <color indexed="8"/>
        <rFont val="Symbol"/>
        <family val="1"/>
        <charset val="2"/>
      </rPr>
      <t>g</t>
    </r>
    <r>
      <rPr>
        <sz val="11"/>
        <color theme="1"/>
        <rFont val="Calibri"/>
        <family val="2"/>
        <scheme val="minor"/>
      </rPr>
      <t xml:space="preserve"> </t>
    </r>
    <r>
      <rPr>
        <b/>
        <sz val="11"/>
        <color indexed="8"/>
        <rFont val="Calibri"/>
        <family val="2"/>
      </rPr>
      <t>M</t>
    </r>
    <r>
      <rPr>
        <b/>
        <vertAlign val="subscript"/>
        <sz val="11"/>
        <color indexed="8"/>
        <rFont val="Calibri"/>
        <family val="2"/>
      </rPr>
      <t>max</t>
    </r>
    <r>
      <rPr>
        <sz val="11"/>
        <color theme="1"/>
        <rFont val="Calibri"/>
        <family val="2"/>
        <scheme val="minor"/>
      </rPr>
      <t xml:space="preserve"> =</t>
    </r>
  </si>
  <si>
    <r>
      <rPr>
        <sz val="11"/>
        <color indexed="8"/>
        <rFont val="Symbol"/>
        <family val="1"/>
        <charset val="2"/>
      </rPr>
      <t>g</t>
    </r>
    <r>
      <rPr>
        <sz val="11"/>
        <color theme="1"/>
        <rFont val="Calibri"/>
        <family val="2"/>
        <scheme val="minor"/>
      </rPr>
      <t xml:space="preserve"> </t>
    </r>
    <r>
      <rPr>
        <b/>
        <sz val="11"/>
        <color indexed="8"/>
        <rFont val="Calibri"/>
        <family val="2"/>
      </rPr>
      <t>M</t>
    </r>
    <r>
      <rPr>
        <b/>
        <vertAlign val="subscript"/>
        <sz val="11"/>
        <color indexed="8"/>
        <rFont val="Calibri"/>
        <family val="2"/>
      </rPr>
      <t>max</t>
    </r>
    <r>
      <rPr>
        <sz val="11"/>
        <color theme="1"/>
        <rFont val="Calibri"/>
        <family val="2"/>
        <scheme val="minor"/>
      </rPr>
      <t xml:space="preserve"> &lt; </t>
    </r>
    <r>
      <rPr>
        <sz val="11"/>
        <color indexed="8"/>
        <rFont val="Symbol"/>
        <family val="1"/>
        <charset val="2"/>
      </rPr>
      <t>f</t>
    </r>
    <r>
      <rPr>
        <sz val="11"/>
        <color theme="1"/>
        <rFont val="Calibri"/>
        <family val="2"/>
        <scheme val="minor"/>
      </rPr>
      <t xml:space="preserve"> </t>
    </r>
    <r>
      <rPr>
        <b/>
        <sz val="11"/>
        <color indexed="8"/>
        <rFont val="Calibri"/>
        <family val="2"/>
      </rPr>
      <t>M</t>
    </r>
    <r>
      <rPr>
        <b/>
        <vertAlign val="subscript"/>
        <sz val="11"/>
        <color indexed="8"/>
        <rFont val="Calibri"/>
        <family val="2"/>
      </rPr>
      <t>cr</t>
    </r>
    <r>
      <rPr>
        <vertAlign val="subscript"/>
        <sz val="11"/>
        <color indexed="8"/>
        <rFont val="Calibri"/>
        <family val="2"/>
      </rPr>
      <t xml:space="preserve"> </t>
    </r>
    <r>
      <rPr>
        <sz val="11"/>
        <color theme="1"/>
        <rFont val="Calibri"/>
        <family val="2"/>
        <scheme val="minor"/>
      </rPr>
      <t xml:space="preserve">: </t>
    </r>
  </si>
  <si>
    <r>
      <t xml:space="preserve">Cross Frame Location along centerline (CL) of the Girder (ft):  </t>
    </r>
    <r>
      <rPr>
        <b/>
        <i/>
        <sz val="11"/>
        <color indexed="8"/>
        <rFont val="Calibri"/>
        <family val="2"/>
      </rPr>
      <t>Lx</t>
    </r>
    <r>
      <rPr>
        <b/>
        <vertAlign val="subscript"/>
        <sz val="11"/>
        <color indexed="8"/>
        <rFont val="Calibri"/>
        <family val="2"/>
      </rPr>
      <t xml:space="preserve"> j</t>
    </r>
  </si>
  <si>
    <r>
      <t xml:space="preserve">Inside of Curve, Outside of Curve or Both (I, O, or I/O):              </t>
    </r>
    <r>
      <rPr>
        <b/>
        <sz val="11"/>
        <color indexed="8"/>
        <rFont val="Calibri"/>
        <family val="2"/>
      </rPr>
      <t>I/O</t>
    </r>
  </si>
  <si>
    <r>
      <t xml:space="preserve">Internal Angle from Beginning (deg.) :                                               </t>
    </r>
    <r>
      <rPr>
        <b/>
        <i/>
        <sz val="11"/>
        <color indexed="8"/>
        <rFont val="Symbol"/>
        <family val="1"/>
        <charset val="2"/>
      </rPr>
      <t>q</t>
    </r>
    <r>
      <rPr>
        <b/>
        <i/>
        <sz val="11"/>
        <color indexed="8"/>
        <rFont val="Calibri"/>
        <family val="2"/>
      </rPr>
      <t>x</t>
    </r>
    <r>
      <rPr>
        <b/>
        <vertAlign val="subscript"/>
        <sz val="11"/>
        <color indexed="8"/>
        <rFont val="Calibri"/>
        <family val="2"/>
      </rPr>
      <t>j</t>
    </r>
  </si>
  <si>
    <r>
      <rPr>
        <b/>
        <i/>
        <sz val="11"/>
        <color indexed="8"/>
        <rFont val="Calibri"/>
        <family val="2"/>
      </rPr>
      <t>Wx</t>
    </r>
    <r>
      <rPr>
        <b/>
        <sz val="11"/>
        <color indexed="8"/>
        <rFont val="Calibri"/>
        <family val="2"/>
      </rPr>
      <t xml:space="preserve"> </t>
    </r>
    <r>
      <rPr>
        <b/>
        <vertAlign val="subscript"/>
        <sz val="11"/>
        <color indexed="8"/>
        <rFont val="Calibri"/>
        <family val="2"/>
      </rPr>
      <t>j</t>
    </r>
    <r>
      <rPr>
        <sz val="11"/>
        <color theme="1"/>
        <rFont val="Calibri"/>
        <family val="2"/>
        <scheme val="minor"/>
      </rPr>
      <t xml:space="preserve"> = </t>
    </r>
  </si>
  <si>
    <r>
      <t xml:space="preserve">Weight of One Cross Frame (lbs):                                                         </t>
    </r>
    <r>
      <rPr>
        <b/>
        <i/>
        <sz val="11"/>
        <color indexed="8"/>
        <rFont val="Calibri"/>
        <family val="2"/>
      </rPr>
      <t xml:space="preserve">Wx </t>
    </r>
    <r>
      <rPr>
        <b/>
        <i/>
        <vertAlign val="subscript"/>
        <sz val="11"/>
        <color indexed="8"/>
        <rFont val="Calibri"/>
        <family val="2"/>
      </rPr>
      <t>j</t>
    </r>
    <r>
      <rPr>
        <b/>
        <i/>
        <sz val="11"/>
        <color indexed="8"/>
        <rFont val="Calibri"/>
        <family val="2"/>
      </rPr>
      <t xml:space="preserve"> </t>
    </r>
  </si>
  <si>
    <t xml:space="preserve">Weight = </t>
  </si>
  <si>
    <t>Girder Scale Factor:</t>
  </si>
  <si>
    <r>
      <t>S.F.</t>
    </r>
    <r>
      <rPr>
        <b/>
        <vertAlign val="subscript"/>
        <sz val="11"/>
        <color indexed="8"/>
        <rFont val="Calibri"/>
        <family val="2"/>
      </rPr>
      <t>girder</t>
    </r>
    <r>
      <rPr>
        <b/>
        <sz val="11"/>
        <color indexed="8"/>
        <rFont val="Calibri"/>
        <family val="2"/>
      </rPr>
      <t xml:space="preserve"> </t>
    </r>
    <r>
      <rPr>
        <sz val="11"/>
        <color theme="1"/>
        <rFont val="Calibri"/>
        <family val="2"/>
        <scheme val="minor"/>
      </rPr>
      <t xml:space="preserve">= </t>
    </r>
  </si>
  <si>
    <t>Funded by Texas Department of Transportation Project (0-5574)</t>
  </si>
  <si>
    <t>Dr. Karl Frank</t>
  </si>
  <si>
    <t>Dr. Michael Engelhardt</t>
  </si>
  <si>
    <t>Dr. Eric Williamson</t>
  </si>
  <si>
    <t>Send Comments to Dr. Todd Helwig:</t>
  </si>
  <si>
    <t>Spreadsheet Developed by:</t>
  </si>
  <si>
    <t>Project Advisors</t>
  </si>
  <si>
    <t>The University of Texas at Austin</t>
  </si>
  <si>
    <t>Developed at:</t>
  </si>
  <si>
    <r>
      <rPr>
        <sz val="11"/>
        <color indexed="8"/>
        <rFont val="Symbol"/>
        <family val="1"/>
        <charset val="2"/>
      </rPr>
      <t>f</t>
    </r>
    <r>
      <rPr>
        <sz val="11"/>
        <color theme="1"/>
        <rFont val="Calibri"/>
        <family val="2"/>
        <scheme val="minor"/>
      </rPr>
      <t xml:space="preserve"> </t>
    </r>
    <r>
      <rPr>
        <sz val="11"/>
        <color theme="1"/>
        <rFont val="Calibri"/>
        <family val="2"/>
        <scheme val="minor"/>
      </rPr>
      <t xml:space="preserve">= </t>
    </r>
  </si>
  <si>
    <r>
      <rPr>
        <sz val="11"/>
        <color indexed="8"/>
        <rFont val="Symbol"/>
        <family val="1"/>
        <charset val="2"/>
      </rPr>
      <t>g</t>
    </r>
    <r>
      <rPr>
        <sz val="11"/>
        <color theme="1"/>
        <rFont val="Calibri"/>
        <family val="2"/>
        <scheme val="minor"/>
      </rPr>
      <t xml:space="preserve"> </t>
    </r>
    <r>
      <rPr>
        <sz val="11"/>
        <color theme="1"/>
        <rFont val="Calibri"/>
        <family val="2"/>
        <scheme val="minor"/>
      </rPr>
      <t>=</t>
    </r>
  </si>
  <si>
    <t xml:space="preserve">Mmax = </t>
  </si>
  <si>
    <t xml:space="preserve">Mcr = </t>
  </si>
  <si>
    <t>Output from Macro</t>
  </si>
  <si>
    <t>Number of Cross Frame Locations:</t>
  </si>
  <si>
    <t>Uniform Cross Frame Weights:</t>
  </si>
  <si>
    <t>thelwig@mail.utexas.edu</t>
  </si>
  <si>
    <t>Archer Western - Fort Worth Girder Lift</t>
  </si>
  <si>
    <t>Girder 1 - Piece 700A1-1</t>
  </si>
  <si>
    <t>Dr. Jason Stith</t>
  </si>
  <si>
    <t>UT Lift 1.3</t>
  </si>
  <si>
    <t>Zero Twist/Equal Force Lift Locations of a Nonprismatic Curved Girder</t>
  </si>
  <si>
    <t>Predicted Rigid Body Twist and Lift Reactions of a Nonprismatic Curved Girder</t>
  </si>
  <si>
    <t>Twist</t>
  </si>
  <si>
    <t>Predicted Twist and Stresses of a Nonprismatic Curved Girder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</si>
</sst>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
    <numFmt numFmtId="166" formatCode="0.0"/>
  </numFmts>
  <fonts count="35" x14ac:knownFonts="1">
    <font>
      <sz val="11"/>
      <color theme="1"/>
      <name val="Calibri"/>
      <family val="2"/>
      <scheme val="minor"/>
    </font>
    <font>
      <b/>
      <sz val="11"/>
      <color indexed="8"/>
      <name val="Calibri"/>
      <family val="2"/>
    </font>
    <font>
      <sz val="11"/>
      <color indexed="8"/>
      <name val="Symbol"/>
      <family val="1"/>
      <charset val="2"/>
    </font>
    <font>
      <vertAlign val="subscript"/>
      <sz val="11"/>
      <color indexed="8"/>
      <name val="Calibri"/>
      <family val="2"/>
    </font>
    <font>
      <vertAlign val="superscript"/>
      <sz val="11"/>
      <color indexed="8"/>
      <name val="Calibri"/>
      <family val="2"/>
    </font>
    <font>
      <b/>
      <sz val="11"/>
      <color indexed="8"/>
      <name val="Symbol"/>
      <family val="1"/>
      <charset val="2"/>
    </font>
    <font>
      <b/>
      <vertAlign val="subscript"/>
      <sz val="11"/>
      <color indexed="8"/>
      <name val="Calibri"/>
      <family val="2"/>
    </font>
    <font>
      <b/>
      <i/>
      <sz val="11"/>
      <color indexed="8"/>
      <name val="Calibri"/>
      <family val="2"/>
    </font>
    <font>
      <sz val="11"/>
      <color indexed="8"/>
      <name val="Calibri"/>
      <family val="2"/>
    </font>
    <font>
      <sz val="8"/>
      <color indexed="81"/>
      <name val="Tahoma"/>
      <family val="2"/>
    </font>
    <font>
      <b/>
      <sz val="8"/>
      <color indexed="81"/>
      <name val="Tahoma"/>
      <family val="2"/>
    </font>
    <font>
      <b/>
      <vertAlign val="subscript"/>
      <sz val="11"/>
      <color indexed="8"/>
      <name val="Times New Roman"/>
      <family val="1"/>
    </font>
    <font>
      <i/>
      <sz val="11"/>
      <color indexed="8"/>
      <name val="Calibri"/>
      <family val="2"/>
    </font>
    <font>
      <b/>
      <i/>
      <sz val="11"/>
      <color indexed="8"/>
      <name val="Symbol"/>
      <family val="1"/>
      <charset val="2"/>
    </font>
    <font>
      <sz val="11"/>
      <name val="Calibri"/>
      <family val="2"/>
    </font>
    <font>
      <b/>
      <i/>
      <vertAlign val="subscript"/>
      <sz val="11"/>
      <color indexed="8"/>
      <name val="Calibri"/>
      <family val="2"/>
    </font>
    <font>
      <b/>
      <vertAlign val="subscript"/>
      <sz val="8"/>
      <color indexed="81"/>
      <name val="Tahoma"/>
      <family val="2"/>
    </font>
    <font>
      <b/>
      <i/>
      <sz val="8"/>
      <color indexed="81"/>
      <name val="Tahoma"/>
      <family val="2"/>
    </font>
    <font>
      <u/>
      <sz val="13.75"/>
      <color theme="10"/>
      <name val="Calibri"/>
      <family val="2"/>
    </font>
    <font>
      <b/>
      <sz val="11"/>
      <color theme="1"/>
      <name val="Calibri"/>
      <family val="2"/>
      <scheme val="minor"/>
    </font>
    <font>
      <b/>
      <u/>
      <sz val="14"/>
      <color theme="1"/>
      <name val="Calibri"/>
      <family val="2"/>
      <scheme val="minor"/>
    </font>
    <font>
      <b/>
      <sz val="11"/>
      <color rgb="FFFF0000"/>
      <name val="Calibri"/>
      <family val="2"/>
      <scheme val="minor"/>
    </font>
    <font>
      <b/>
      <u/>
      <sz val="14"/>
      <color theme="1"/>
      <name val="Times New Roman"/>
      <family val="1"/>
    </font>
    <font>
      <u/>
      <sz val="11"/>
      <color theme="1"/>
      <name val="Calibri"/>
      <family val="2"/>
      <scheme val="minor"/>
    </font>
    <font>
      <sz val="11"/>
      <name val="Calibri"/>
      <family val="2"/>
      <scheme val="minor"/>
    </font>
    <font>
      <sz val="8"/>
      <color theme="1"/>
      <name val="Calibri"/>
      <family val="2"/>
      <scheme val="minor"/>
    </font>
    <font>
      <sz val="10"/>
      <color theme="1"/>
      <name val="Calibri"/>
      <family val="2"/>
      <scheme val="minor"/>
    </font>
    <font>
      <b/>
      <i/>
      <sz val="11"/>
      <color theme="1"/>
      <name val="Calibri"/>
      <family val="2"/>
      <scheme val="minor"/>
    </font>
    <font>
      <b/>
      <sz val="12"/>
      <color rgb="FFFF0000"/>
      <name val="Calibri"/>
      <family val="2"/>
      <scheme val="minor"/>
    </font>
    <font>
      <b/>
      <sz val="6"/>
      <color rgb="FFFF0000"/>
      <name val="Calibri"/>
      <family val="2"/>
      <scheme val="minor"/>
    </font>
    <font>
      <sz val="12"/>
      <color theme="1"/>
      <name val="Times New Roman"/>
      <family val="1"/>
    </font>
    <font>
      <b/>
      <u/>
      <sz val="24"/>
      <color theme="1"/>
      <name val="Times New Roman"/>
      <family val="1"/>
    </font>
    <font>
      <u/>
      <sz val="12"/>
      <color theme="1"/>
      <name val="Times New Roman"/>
      <family val="1"/>
    </font>
    <font>
      <sz val="18"/>
      <color theme="9" tint="-0.249977111117893"/>
      <name val="Times New Roman"/>
      <family val="1"/>
    </font>
    <font>
      <b/>
      <sz val="8"/>
      <color indexed="81"/>
      <name val="Symbol"/>
      <family val="1"/>
      <charset val="2"/>
    </font>
  </fonts>
  <fills count="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thin">
        <color indexed="64"/>
      </bottom>
      <diagonal/>
    </border>
  </borders>
  <cellStyleXfs count="2">
    <xf numFmtId="0" fontId="0" fillId="0" borderId="0"/>
    <xf numFmtId="0" fontId="18" fillId="0" borderId="0" applyNumberFormat="0" applyFill="0" applyBorder="0" applyAlignment="0" applyProtection="0">
      <alignment vertical="top"/>
      <protection locked="0"/>
    </xf>
  </cellStyleXfs>
  <cellXfs count="172">
    <xf numFmtId="0" fontId="0" fillId="0" borderId="0" xfId="0"/>
    <xf numFmtId="0" fontId="0" fillId="0" borderId="0" xfId="0" applyProtection="1">
      <protection hidden="1"/>
    </xf>
    <xf numFmtId="0" fontId="0" fillId="0" borderId="0" xfId="0" applyAlignment="1" applyProtection="1">
      <alignment horizontal="center"/>
      <protection hidden="1"/>
    </xf>
    <xf numFmtId="0" fontId="19" fillId="0" borderId="0" xfId="0" applyFont="1" applyAlignment="1" applyProtection="1">
      <alignment horizontal="center"/>
      <protection hidden="1"/>
    </xf>
    <xf numFmtId="0" fontId="19" fillId="0" borderId="0" xfId="0" applyFont="1" applyProtection="1">
      <protection hidden="1"/>
    </xf>
    <xf numFmtId="0" fontId="0" fillId="0" borderId="1" xfId="0" applyBorder="1" applyProtection="1">
      <protection hidden="1"/>
    </xf>
    <xf numFmtId="0" fontId="0" fillId="0" borderId="1" xfId="0" applyBorder="1" applyAlignment="1" applyProtection="1">
      <alignment horizontal="center" vertical="center"/>
      <protection hidden="1"/>
    </xf>
    <xf numFmtId="0" fontId="0" fillId="0" borderId="2" xfId="0" applyBorder="1" applyProtection="1">
      <protection hidden="1"/>
    </xf>
    <xf numFmtId="0" fontId="20" fillId="0" borderId="0" xfId="0" applyFont="1" applyProtection="1">
      <protection hidden="1"/>
    </xf>
    <xf numFmtId="0" fontId="0" fillId="0" borderId="1" xfId="0" applyBorder="1" applyAlignment="1" applyProtection="1">
      <alignment horizontal="center"/>
      <protection hidden="1"/>
    </xf>
    <xf numFmtId="0" fontId="19" fillId="0" borderId="0" xfId="0" applyFont="1" applyAlignment="1" applyProtection="1">
      <alignment horizontal="right"/>
      <protection hidden="1"/>
    </xf>
    <xf numFmtId="0" fontId="0" fillId="0" borderId="3" xfId="0" applyBorder="1" applyProtection="1">
      <protection hidden="1"/>
    </xf>
    <xf numFmtId="0" fontId="0" fillId="0" borderId="4" xfId="0" applyBorder="1" applyAlignment="1" applyProtection="1">
      <alignment horizontal="right"/>
      <protection hidden="1"/>
    </xf>
    <xf numFmtId="0" fontId="0" fillId="2" borderId="4" xfId="0" applyFill="1" applyBorder="1" applyAlignment="1" applyProtection="1">
      <alignment horizontal="center"/>
      <protection locked="0" hidden="1"/>
    </xf>
    <xf numFmtId="166" fontId="0" fillId="0" borderId="1" xfId="0" applyNumberFormat="1" applyBorder="1" applyAlignment="1" applyProtection="1">
      <alignment horizontal="center"/>
      <protection hidden="1"/>
    </xf>
    <xf numFmtId="0" fontId="19" fillId="0" borderId="0" xfId="0" applyFont="1" applyAlignment="1" applyProtection="1">
      <alignment horizontal="left"/>
      <protection hidden="1"/>
    </xf>
    <xf numFmtId="0" fontId="0" fillId="0" borderId="0" xfId="0" applyAlignment="1" applyProtection="1">
      <alignment horizontal="left"/>
      <protection hidden="1"/>
    </xf>
    <xf numFmtId="2" fontId="0" fillId="0" borderId="4" xfId="0" applyNumberFormat="1" applyBorder="1" applyAlignment="1" applyProtection="1">
      <alignment horizontal="center"/>
      <protection hidden="1"/>
    </xf>
    <xf numFmtId="1" fontId="0" fillId="0" borderId="4" xfId="0" applyNumberFormat="1" applyBorder="1" applyAlignment="1" applyProtection="1">
      <alignment horizontal="center"/>
      <protection hidden="1"/>
    </xf>
    <xf numFmtId="0" fontId="0" fillId="0" borderId="5" xfId="0" applyBorder="1" applyProtection="1">
      <protection hidden="1"/>
    </xf>
    <xf numFmtId="0" fontId="0" fillId="0" borderId="6" xfId="0" applyBorder="1" applyProtection="1">
      <protection hidden="1"/>
    </xf>
    <xf numFmtId="165" fontId="0" fillId="0" borderId="6" xfId="0" applyNumberFormat="1" applyBorder="1" applyAlignment="1" applyProtection="1">
      <alignment horizontal="center"/>
      <protection hidden="1"/>
    </xf>
    <xf numFmtId="0" fontId="0" fillId="0" borderId="7" xfId="0" applyBorder="1" applyProtection="1">
      <protection hidden="1"/>
    </xf>
    <xf numFmtId="0" fontId="0" fillId="0" borderId="8" xfId="0" applyBorder="1" applyProtection="1">
      <protection hidden="1"/>
    </xf>
    <xf numFmtId="0" fontId="0" fillId="0" borderId="9" xfId="0" applyBorder="1" applyProtection="1">
      <protection hidden="1"/>
    </xf>
    <xf numFmtId="0" fontId="0" fillId="0" borderId="10" xfId="0" applyBorder="1" applyProtection="1">
      <protection hidden="1"/>
    </xf>
    <xf numFmtId="0" fontId="0" fillId="0" borderId="11" xfId="0" applyBorder="1" applyAlignment="1" applyProtection="1">
      <alignment horizontal="center"/>
      <protection hidden="1"/>
    </xf>
    <xf numFmtId="0" fontId="0" fillId="0" borderId="12" xfId="0" applyBorder="1" applyAlignment="1" applyProtection="1">
      <alignment horizontal="center"/>
      <protection hidden="1"/>
    </xf>
    <xf numFmtId="165" fontId="0" fillId="0" borderId="12" xfId="0" applyNumberFormat="1" applyBorder="1" applyAlignment="1" applyProtection="1">
      <alignment horizontal="center"/>
      <protection hidden="1"/>
    </xf>
    <xf numFmtId="0" fontId="0" fillId="0" borderId="13" xfId="0" applyBorder="1" applyProtection="1">
      <protection hidden="1"/>
    </xf>
    <xf numFmtId="164" fontId="0" fillId="0" borderId="0" xfId="0" applyNumberFormat="1" applyAlignment="1" applyProtection="1">
      <alignment horizontal="center"/>
      <protection hidden="1"/>
    </xf>
    <xf numFmtId="0" fontId="0" fillId="0" borderId="9" xfId="0" applyBorder="1" applyAlignment="1" applyProtection="1">
      <alignment horizontal="center"/>
      <protection hidden="1"/>
    </xf>
    <xf numFmtId="165" fontId="0" fillId="0" borderId="10" xfId="0" applyNumberFormat="1" applyBorder="1" applyAlignment="1" applyProtection="1">
      <alignment horizontal="center"/>
      <protection hidden="1"/>
    </xf>
    <xf numFmtId="0" fontId="0" fillId="0" borderId="11" xfId="0" applyBorder="1" applyProtection="1">
      <protection hidden="1"/>
    </xf>
    <xf numFmtId="165" fontId="0" fillId="3" borderId="12" xfId="0" applyNumberFormat="1" applyFill="1" applyBorder="1" applyAlignment="1" applyProtection="1">
      <alignment horizontal="center"/>
      <protection hidden="1"/>
    </xf>
    <xf numFmtId="165" fontId="0" fillId="0" borderId="0" xfId="0" applyNumberFormat="1" applyAlignment="1" applyProtection="1">
      <alignment horizontal="center"/>
      <protection hidden="1"/>
    </xf>
    <xf numFmtId="165" fontId="0" fillId="0" borderId="9" xfId="0" applyNumberFormat="1" applyBorder="1" applyAlignment="1" applyProtection="1">
      <alignment horizontal="center"/>
      <protection hidden="1"/>
    </xf>
    <xf numFmtId="0" fontId="0" fillId="0" borderId="12" xfId="0" applyBorder="1" applyProtection="1">
      <protection hidden="1"/>
    </xf>
    <xf numFmtId="0" fontId="0" fillId="0" borderId="14" xfId="0" applyBorder="1" applyProtection="1">
      <protection hidden="1"/>
    </xf>
    <xf numFmtId="0" fontId="0" fillId="0" borderId="15" xfId="0" applyBorder="1" applyProtection="1">
      <protection hidden="1"/>
    </xf>
    <xf numFmtId="165" fontId="0" fillId="0" borderId="15" xfId="0" applyNumberFormat="1" applyBorder="1" applyAlignment="1" applyProtection="1">
      <alignment horizontal="center"/>
      <protection hidden="1"/>
    </xf>
    <xf numFmtId="0" fontId="0" fillId="0" borderId="16" xfId="0" applyBorder="1" applyProtection="1">
      <protection hidden="1"/>
    </xf>
    <xf numFmtId="0" fontId="0" fillId="0" borderId="17" xfId="0" applyBorder="1" applyProtection="1">
      <protection hidden="1"/>
    </xf>
    <xf numFmtId="165" fontId="0" fillId="0" borderId="18" xfId="0" applyNumberFormat="1" applyBorder="1" applyAlignment="1" applyProtection="1">
      <alignment horizontal="center"/>
      <protection hidden="1"/>
    </xf>
    <xf numFmtId="0" fontId="0" fillId="0" borderId="19" xfId="0" applyBorder="1" applyProtection="1">
      <protection hidden="1"/>
    </xf>
    <xf numFmtId="0" fontId="0" fillId="0" borderId="20" xfId="0" applyBorder="1" applyProtection="1">
      <protection hidden="1"/>
    </xf>
    <xf numFmtId="0" fontId="0" fillId="0" borderId="21" xfId="0" applyBorder="1" applyProtection="1">
      <protection hidden="1"/>
    </xf>
    <xf numFmtId="0" fontId="19" fillId="0" borderId="12" xfId="0" applyFont="1" applyBorder="1" applyAlignment="1" applyProtection="1">
      <alignment horizontal="right"/>
      <protection hidden="1"/>
    </xf>
    <xf numFmtId="0" fontId="21" fillId="0" borderId="13" xfId="0" applyFont="1" applyBorder="1" applyAlignment="1" applyProtection="1">
      <alignment horizontal="left"/>
      <protection hidden="1"/>
    </xf>
    <xf numFmtId="0" fontId="19" fillId="0" borderId="9" xfId="0" applyFont="1" applyBorder="1" applyAlignment="1" applyProtection="1">
      <alignment horizontal="right"/>
      <protection hidden="1"/>
    </xf>
    <xf numFmtId="0" fontId="19" fillId="0" borderId="12" xfId="0" applyFont="1" applyBorder="1" applyAlignment="1" applyProtection="1">
      <alignment horizontal="right" vertical="center"/>
      <protection hidden="1"/>
    </xf>
    <xf numFmtId="0" fontId="0" fillId="0" borderId="12" xfId="0" applyBorder="1" applyAlignment="1" applyProtection="1">
      <alignment horizontal="right"/>
      <protection hidden="1"/>
    </xf>
    <xf numFmtId="2" fontId="0" fillId="0" borderId="12" xfId="0" applyNumberFormat="1" applyBorder="1" applyAlignment="1" applyProtection="1">
      <alignment horizontal="center"/>
      <protection hidden="1"/>
    </xf>
    <xf numFmtId="0" fontId="22" fillId="0" borderId="0" xfId="0" applyFont="1" applyAlignment="1" applyProtection="1">
      <alignment horizontal="center"/>
      <protection hidden="1"/>
    </xf>
    <xf numFmtId="0" fontId="23" fillId="0" borderId="0" xfId="0" applyFont="1" applyProtection="1">
      <protection hidden="1"/>
    </xf>
    <xf numFmtId="0" fontId="0" fillId="0" borderId="22" xfId="0" applyBorder="1" applyProtection="1">
      <protection hidden="1"/>
    </xf>
    <xf numFmtId="165" fontId="0" fillId="0" borderId="4" xfId="0" applyNumberFormat="1" applyBorder="1" applyAlignment="1" applyProtection="1">
      <alignment horizontal="center"/>
      <protection hidden="1"/>
    </xf>
    <xf numFmtId="0" fontId="0" fillId="0" borderId="23" xfId="0" applyBorder="1" applyProtection="1">
      <protection hidden="1"/>
    </xf>
    <xf numFmtId="0" fontId="0" fillId="0" borderId="0" xfId="0" applyAlignment="1" applyProtection="1">
      <alignment horizontal="right"/>
      <protection hidden="1"/>
    </xf>
    <xf numFmtId="0" fontId="19" fillId="0" borderId="4" xfId="0" applyFont="1" applyBorder="1" applyAlignment="1" applyProtection="1">
      <alignment horizontal="right"/>
      <protection hidden="1"/>
    </xf>
    <xf numFmtId="2" fontId="0" fillId="3" borderId="4" xfId="0" applyNumberFormat="1" applyFill="1" applyBorder="1" applyAlignment="1" applyProtection="1">
      <alignment horizontal="center"/>
      <protection hidden="1"/>
    </xf>
    <xf numFmtId="2" fontId="0" fillId="3" borderId="12" xfId="0" applyNumberFormat="1" applyFill="1" applyBorder="1" applyAlignment="1" applyProtection="1">
      <alignment horizontal="center"/>
      <protection hidden="1"/>
    </xf>
    <xf numFmtId="164" fontId="0" fillId="0" borderId="0" xfId="0" applyNumberFormat="1" applyProtection="1">
      <protection hidden="1"/>
    </xf>
    <xf numFmtId="0" fontId="19" fillId="0" borderId="3" xfId="0" applyFont="1" applyBorder="1" applyAlignment="1" applyProtection="1">
      <alignment horizontal="right"/>
      <protection hidden="1"/>
    </xf>
    <xf numFmtId="0" fontId="24" fillId="2" borderId="2" xfId="0" applyFont="1" applyFill="1" applyBorder="1" applyAlignment="1" applyProtection="1">
      <alignment horizontal="center"/>
      <protection locked="0" hidden="1"/>
    </xf>
    <xf numFmtId="0" fontId="0" fillId="2" borderId="3" xfId="0" applyFill="1" applyBorder="1" applyAlignment="1" applyProtection="1">
      <alignment horizontal="center"/>
      <protection locked="0" hidden="1"/>
    </xf>
    <xf numFmtId="0" fontId="0" fillId="0" borderId="0" xfId="0" applyAlignment="1" applyProtection="1">
      <alignment horizontal="center"/>
      <protection locked="0" hidden="1"/>
    </xf>
    <xf numFmtId="0" fontId="21" fillId="0" borderId="0" xfId="0" applyFont="1" applyAlignment="1" applyProtection="1">
      <alignment horizontal="left"/>
      <protection hidden="1"/>
    </xf>
    <xf numFmtId="0" fontId="0" fillId="0" borderId="0" xfId="0" applyProtection="1">
      <protection locked="0"/>
    </xf>
    <xf numFmtId="0" fontId="0" fillId="0" borderId="0" xfId="0" applyAlignment="1">
      <alignment horizontal="center"/>
    </xf>
    <xf numFmtId="0" fontId="0" fillId="2" borderId="1" xfId="0" applyFill="1" applyBorder="1" applyAlignment="1" applyProtection="1">
      <alignment horizontal="center"/>
      <protection locked="0" hidden="1"/>
    </xf>
    <xf numFmtId="0" fontId="0" fillId="0" borderId="0" xfId="0" applyAlignment="1">
      <alignment horizontal="center" vertical="center"/>
    </xf>
    <xf numFmtId="0" fontId="0" fillId="0" borderId="4" xfId="0" applyBorder="1" applyProtection="1">
      <protection hidden="1"/>
    </xf>
    <xf numFmtId="0" fontId="0" fillId="0" borderId="24" xfId="0" applyBorder="1" applyProtection="1">
      <protection hidden="1"/>
    </xf>
    <xf numFmtId="0" fontId="25" fillId="0" borderId="0" xfId="0" applyFont="1" applyProtection="1">
      <protection hidden="1"/>
    </xf>
    <xf numFmtId="165" fontId="0" fillId="3" borderId="12" xfId="0" applyNumberFormat="1" applyFill="1" applyBorder="1" applyAlignment="1" applyProtection="1">
      <alignment horizontal="center"/>
      <protection locked="0" hidden="1"/>
    </xf>
    <xf numFmtId="2" fontId="0" fillId="3" borderId="0" xfId="0" applyNumberFormat="1" applyFill="1" applyAlignment="1" applyProtection="1">
      <alignment horizontal="center"/>
      <protection locked="0" hidden="1"/>
    </xf>
    <xf numFmtId="2" fontId="0" fillId="3" borderId="4" xfId="0" applyNumberFormat="1" applyFill="1" applyBorder="1" applyAlignment="1" applyProtection="1">
      <alignment horizontal="center"/>
      <protection locked="0" hidden="1"/>
    </xf>
    <xf numFmtId="2" fontId="0" fillId="3" borderId="12" xfId="0" applyNumberFormat="1" applyFill="1" applyBorder="1" applyAlignment="1" applyProtection="1">
      <alignment horizontal="center"/>
      <protection locked="0" hidden="1"/>
    </xf>
    <xf numFmtId="165" fontId="0" fillId="3" borderId="6" xfId="0" applyNumberFormat="1" applyFill="1" applyBorder="1" applyAlignment="1" applyProtection="1">
      <alignment horizontal="center"/>
      <protection locked="0" hidden="1"/>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2" borderId="1" xfId="0" applyFill="1" applyBorder="1" applyProtection="1">
      <protection hidden="1"/>
    </xf>
    <xf numFmtId="0" fontId="0" fillId="3" borderId="1" xfId="0" applyFill="1" applyBorder="1" applyProtection="1">
      <protection hidden="1"/>
    </xf>
    <xf numFmtId="0" fontId="26" fillId="0" borderId="1" xfId="0" applyFont="1" applyBorder="1" applyAlignment="1" applyProtection="1">
      <alignment horizontal="center"/>
      <protection hidden="1"/>
    </xf>
    <xf numFmtId="0" fontId="26" fillId="0" borderId="3" xfId="0" applyFont="1" applyBorder="1" applyAlignment="1" applyProtection="1">
      <alignment horizontal="center"/>
      <protection hidden="1"/>
    </xf>
    <xf numFmtId="0" fontId="19" fillId="3" borderId="18" xfId="0" applyFont="1" applyFill="1" applyBorder="1" applyAlignment="1" applyProtection="1">
      <alignment horizontal="center"/>
      <protection hidden="1"/>
    </xf>
    <xf numFmtId="2" fontId="0" fillId="0" borderId="1" xfId="0" applyNumberFormat="1" applyBorder="1" applyAlignment="1" applyProtection="1">
      <alignment horizontal="center"/>
      <protection hidden="1"/>
    </xf>
    <xf numFmtId="1" fontId="0" fillId="0" borderId="1" xfId="0" applyNumberFormat="1" applyBorder="1" applyAlignment="1" applyProtection="1">
      <alignment horizontal="center"/>
      <protection hidden="1"/>
    </xf>
    <xf numFmtId="11" fontId="0" fillId="0" borderId="1"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0" fontId="0" fillId="0" borderId="18" xfId="0" applyBorder="1" applyAlignment="1" applyProtection="1">
      <alignment horizontal="center"/>
      <protection hidden="1"/>
    </xf>
    <xf numFmtId="0" fontId="24" fillId="0" borderId="13" xfId="0" applyFont="1" applyBorder="1" applyAlignment="1" applyProtection="1">
      <alignment horizontal="left"/>
      <protection hidden="1"/>
    </xf>
    <xf numFmtId="0" fontId="21" fillId="0" borderId="0" xfId="0" applyFont="1" applyAlignment="1" applyProtection="1">
      <alignment horizontal="center"/>
      <protection hidden="1"/>
    </xf>
    <xf numFmtId="0" fontId="1" fillId="0" borderId="0" xfId="0" applyFont="1" applyAlignment="1" applyProtection="1">
      <alignment horizontal="left"/>
      <protection hidden="1"/>
    </xf>
    <xf numFmtId="0" fontId="1" fillId="0" borderId="12" xfId="0" applyFont="1" applyBorder="1" applyAlignment="1" applyProtection="1">
      <alignment horizontal="right"/>
      <protection hidden="1"/>
    </xf>
    <xf numFmtId="0" fontId="1" fillId="0" borderId="12" xfId="0" applyFont="1" applyBorder="1" applyAlignment="1" applyProtection="1">
      <alignment horizontal="right" vertical="center"/>
      <protection hidden="1"/>
    </xf>
    <xf numFmtId="0" fontId="27" fillId="0" borderId="4" xfId="0" applyFont="1" applyBorder="1" applyAlignment="1" applyProtection="1">
      <alignment horizontal="right" vertical="center"/>
      <protection hidden="1"/>
    </xf>
    <xf numFmtId="0" fontId="1" fillId="0" borderId="4" xfId="0" applyFont="1" applyBorder="1" applyAlignment="1" applyProtection="1">
      <alignment horizontal="right"/>
      <protection hidden="1"/>
    </xf>
    <xf numFmtId="0" fontId="0" fillId="0" borderId="0" xfId="0" applyAlignment="1" applyProtection="1">
      <alignment vertical="top"/>
      <protection hidden="1"/>
    </xf>
    <xf numFmtId="0" fontId="0" fillId="0" borderId="9" xfId="0" applyBorder="1" applyAlignment="1" applyProtection="1">
      <alignment horizontal="center" vertical="center"/>
      <protection hidden="1"/>
    </xf>
    <xf numFmtId="0" fontId="0" fillId="0" borderId="17" xfId="0" applyBorder="1" applyAlignment="1" applyProtection="1">
      <alignment horizontal="right"/>
      <protection hidden="1"/>
    </xf>
    <xf numFmtId="0" fontId="0" fillId="0" borderId="4" xfId="0" applyBorder="1" applyAlignment="1" applyProtection="1">
      <alignment horizontal="center"/>
      <protection hidden="1"/>
    </xf>
    <xf numFmtId="0" fontId="0" fillId="0" borderId="2"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19" xfId="0" applyBorder="1" applyAlignment="1" applyProtection="1">
      <alignment horizontal="center"/>
      <protection hidden="1"/>
    </xf>
    <xf numFmtId="0" fontId="28" fillId="0" borderId="0" xfId="0" applyFont="1" applyAlignment="1" applyProtection="1">
      <alignment horizontal="left"/>
      <protection hidden="1"/>
    </xf>
    <xf numFmtId="0" fontId="0" fillId="0" borderId="0" xfId="0" applyAlignment="1" applyProtection="1">
      <alignment horizontal="center" wrapText="1"/>
      <protection locked="0"/>
    </xf>
    <xf numFmtId="0" fontId="21" fillId="0" borderId="0" xfId="0" applyFont="1" applyProtection="1">
      <protection hidden="1"/>
    </xf>
    <xf numFmtId="0" fontId="0" fillId="0" borderId="30" xfId="0" applyBorder="1" applyAlignment="1" applyProtection="1">
      <alignment horizontal="center" vertical="center" wrapText="1"/>
      <protection locked="0"/>
    </xf>
    <xf numFmtId="0" fontId="0" fillId="0" borderId="0" xfId="0" applyAlignment="1" applyProtection="1">
      <alignment vertical="center"/>
      <protection locked="0"/>
    </xf>
    <xf numFmtId="0" fontId="29" fillId="0" borderId="0" xfId="0" applyFont="1" applyAlignment="1" applyProtection="1">
      <alignment wrapText="1"/>
      <protection hidden="1"/>
    </xf>
    <xf numFmtId="0" fontId="14" fillId="0" borderId="0" xfId="1" applyFont="1" applyAlignment="1" applyProtection="1">
      <protection hidden="1"/>
    </xf>
    <xf numFmtId="0" fontId="0" fillId="0" borderId="31" xfId="0" applyBorder="1"/>
    <xf numFmtId="0" fontId="0" fillId="0" borderId="32" xfId="0" applyBorder="1"/>
    <xf numFmtId="0" fontId="0" fillId="0" borderId="33" xfId="0" applyBorder="1"/>
    <xf numFmtId="0" fontId="0" fillId="0" borderId="5" xfId="0" applyBorder="1" applyAlignment="1" applyProtection="1">
      <alignment horizontal="center"/>
      <protection hidden="1"/>
    </xf>
    <xf numFmtId="1" fontId="0" fillId="0" borderId="6" xfId="0" applyNumberFormat="1" applyBorder="1" applyAlignment="1" applyProtection="1">
      <alignment horizontal="center"/>
      <protection hidden="1"/>
    </xf>
    <xf numFmtId="0" fontId="0" fillId="0" borderId="31" xfId="0" applyBorder="1" applyProtection="1">
      <protection hidden="1"/>
    </xf>
    <xf numFmtId="0" fontId="0" fillId="0" borderId="33" xfId="0" applyBorder="1" applyProtection="1">
      <protection hidden="1"/>
    </xf>
    <xf numFmtId="0" fontId="0" fillId="0" borderId="3" xfId="0" applyBorder="1" applyAlignment="1" applyProtection="1">
      <alignment horizontal="center"/>
      <protection hidden="1"/>
    </xf>
    <xf numFmtId="0" fontId="19" fillId="0" borderId="3" xfId="0" applyFont="1" applyBorder="1" applyAlignment="1" applyProtection="1">
      <alignment horizontal="center"/>
      <protection hidden="1"/>
    </xf>
    <xf numFmtId="0" fontId="0" fillId="0" borderId="18" xfId="0" applyBorder="1" applyProtection="1">
      <protection hidden="1"/>
    </xf>
    <xf numFmtId="0" fontId="0" fillId="0" borderId="22" xfId="0" applyBorder="1" applyAlignment="1" applyProtection="1">
      <alignment horizontal="center"/>
      <protection hidden="1"/>
    </xf>
    <xf numFmtId="165" fontId="0" fillId="0" borderId="12" xfId="0" applyNumberFormat="1" applyBorder="1" applyAlignment="1" applyProtection="1">
      <alignment horizontal="center" shrinkToFit="1"/>
      <protection hidden="1"/>
    </xf>
    <xf numFmtId="0" fontId="0" fillId="0" borderId="13" xfId="0" applyBorder="1" applyAlignment="1" applyProtection="1">
      <alignment horizontal="left"/>
      <protection hidden="1"/>
    </xf>
    <xf numFmtId="0" fontId="0" fillId="0" borderId="2" xfId="0" applyBorder="1" applyAlignment="1" applyProtection="1">
      <alignment horizontal="left"/>
      <protection hidden="1"/>
    </xf>
    <xf numFmtId="0" fontId="0" fillId="0" borderId="34" xfId="0" applyBorder="1" applyAlignment="1" applyProtection="1">
      <alignment horizontal="left"/>
      <protection hidden="1"/>
    </xf>
    <xf numFmtId="0" fontId="0" fillId="0" borderId="4" xfId="0" applyBorder="1" applyAlignment="1" applyProtection="1">
      <alignment horizontal="left"/>
      <protection hidden="1"/>
    </xf>
    <xf numFmtId="0" fontId="0" fillId="2" borderId="12" xfId="0"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2" borderId="2" xfId="0" applyNumberFormat="1" applyFill="1" applyBorder="1" applyAlignment="1" applyProtection="1">
      <alignment horizontal="center"/>
      <protection locked="0"/>
    </xf>
    <xf numFmtId="2" fontId="0" fillId="2" borderId="12"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2" borderId="3" xfId="0" applyFill="1" applyBorder="1" applyAlignment="1" applyProtection="1">
      <alignment horizontal="center"/>
      <protection locked="0"/>
    </xf>
    <xf numFmtId="165" fontId="0" fillId="2" borderId="12" xfId="0" applyNumberFormat="1" applyFill="1" applyBorder="1" applyAlignment="1" applyProtection="1">
      <alignment horizontal="center"/>
      <protection locked="0"/>
    </xf>
    <xf numFmtId="0" fontId="30" fillId="0" borderId="0" xfId="0" applyFont="1" applyAlignment="1">
      <alignment horizontal="center"/>
    </xf>
    <xf numFmtId="0" fontId="28" fillId="0" borderId="0" xfId="0" applyFont="1" applyProtection="1">
      <protection hidden="1"/>
    </xf>
    <xf numFmtId="0" fontId="0" fillId="0" borderId="6" xfId="0" applyBorder="1" applyAlignment="1" applyProtection="1">
      <alignment horizontal="right"/>
      <protection hidden="1"/>
    </xf>
    <xf numFmtId="2" fontId="0" fillId="3" borderId="6" xfId="0" applyNumberFormat="1" applyFill="1" applyBorder="1" applyAlignment="1" applyProtection="1">
      <alignment horizontal="center"/>
      <protection locked="0" hidden="1"/>
    </xf>
    <xf numFmtId="0" fontId="0" fillId="0" borderId="37" xfId="0" applyBorder="1" applyProtection="1">
      <protection hidden="1"/>
    </xf>
    <xf numFmtId="0" fontId="30" fillId="0" borderId="0" xfId="0" applyFont="1" applyAlignment="1" applyProtection="1">
      <alignment horizontal="center"/>
      <protection hidden="1"/>
    </xf>
    <xf numFmtId="0" fontId="31" fillId="0" borderId="0" xfId="0" applyFont="1" applyAlignment="1" applyProtection="1">
      <alignment horizontal="center"/>
      <protection hidden="1"/>
    </xf>
    <xf numFmtId="0" fontId="33" fillId="0" borderId="0" xfId="0" applyFont="1" applyAlignment="1" applyProtection="1">
      <alignment horizontal="center"/>
      <protection hidden="1"/>
    </xf>
    <xf numFmtId="0" fontId="32" fillId="0" borderId="0" xfId="0" applyFont="1" applyAlignment="1" applyProtection="1">
      <alignment horizontal="center"/>
      <protection hidden="1"/>
    </xf>
    <xf numFmtId="0" fontId="18" fillId="0" borderId="0" xfId="1" applyAlignment="1" applyProtection="1">
      <alignment horizontal="center"/>
      <protection hidden="1"/>
    </xf>
    <xf numFmtId="0" fontId="0" fillId="2" borderId="4" xfId="0" applyFill="1" applyBorder="1" applyProtection="1">
      <protection locked="0"/>
    </xf>
    <xf numFmtId="0" fontId="0" fillId="2" borderId="4" xfId="0" applyFill="1" applyBorder="1"/>
    <xf numFmtId="0" fontId="0" fillId="2" borderId="2" xfId="0" applyFill="1" applyBorder="1"/>
    <xf numFmtId="0" fontId="0" fillId="0" borderId="8" xfId="0" applyBorder="1" applyAlignment="1" applyProtection="1">
      <alignment horizontal="center"/>
      <protection hidden="1"/>
    </xf>
    <xf numFmtId="0" fontId="0" fillId="0" borderId="9" xfId="0" applyBorder="1" applyAlignment="1">
      <alignment horizontal="center"/>
    </xf>
    <xf numFmtId="0" fontId="0" fillId="0" borderId="10" xfId="0" applyBorder="1" applyAlignment="1">
      <alignment horizontal="center"/>
    </xf>
    <xf numFmtId="0" fontId="0" fillId="0" borderId="20" xfId="0" applyBorder="1" applyAlignment="1" applyProtection="1">
      <alignment horizontal="center"/>
      <protection hidden="1"/>
    </xf>
    <xf numFmtId="0" fontId="0" fillId="0" borderId="21" xfId="0" applyBorder="1" applyAlignment="1">
      <alignment horizontal="center"/>
    </xf>
    <xf numFmtId="0" fontId="0" fillId="0" borderId="35" xfId="0" applyBorder="1" applyAlignment="1" applyProtection="1">
      <alignment wrapText="1"/>
      <protection hidden="1"/>
    </xf>
    <xf numFmtId="0" fontId="0" fillId="0" borderId="36" xfId="0" applyBorder="1" applyAlignment="1">
      <alignment wrapText="1"/>
    </xf>
    <xf numFmtId="0" fontId="0" fillId="0" borderId="29" xfId="0" applyBorder="1" applyAlignment="1">
      <alignment wrapText="1"/>
    </xf>
    <xf numFmtId="0" fontId="0" fillId="0" borderId="14" xfId="0" applyBorder="1" applyAlignment="1" applyProtection="1">
      <alignment wrapText="1"/>
      <protection hidden="1"/>
    </xf>
    <xf numFmtId="0" fontId="0" fillId="0" borderId="15" xfId="0" applyBorder="1" applyAlignment="1">
      <alignment wrapText="1"/>
    </xf>
    <xf numFmtId="0" fontId="0" fillId="0" borderId="16" xfId="0" applyBorder="1" applyAlignment="1">
      <alignment wrapText="1"/>
    </xf>
    <xf numFmtId="0" fontId="28" fillId="3" borderId="12" xfId="0" applyFont="1" applyFill="1" applyBorder="1" applyAlignment="1" applyProtection="1">
      <alignment horizontal="center"/>
      <protection hidden="1"/>
    </xf>
    <xf numFmtId="0" fontId="0" fillId="3" borderId="12" xfId="0" applyFill="1" applyBorder="1" applyAlignment="1">
      <alignment horizontal="center"/>
    </xf>
    <xf numFmtId="0" fontId="0" fillId="3" borderId="13" xfId="0" applyFill="1" applyBorder="1" applyAlignment="1">
      <alignment horizontal="center"/>
    </xf>
    <xf numFmtId="0" fontId="28" fillId="0" borderId="4" xfId="0" applyFont="1" applyBorder="1" applyAlignment="1" applyProtection="1">
      <alignment horizontal="left"/>
      <protection hidden="1"/>
    </xf>
    <xf numFmtId="0" fontId="0" fillId="0" borderId="4" xfId="0" applyBorder="1" applyAlignment="1">
      <alignment horizontal="left"/>
    </xf>
    <xf numFmtId="0" fontId="0" fillId="0" borderId="23" xfId="0" applyBorder="1" applyAlignment="1">
      <alignment horizontal="left"/>
    </xf>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i="0" u="none" strike="noStrike" baseline="0">
                <a:solidFill>
                  <a:srgbClr val="000000"/>
                </a:solidFill>
                <a:latin typeface="Calibri"/>
                <a:ea typeface="Calibri"/>
                <a:cs typeface="Calibri"/>
              </a:defRPr>
            </a:pPr>
            <a:r>
              <a:rPr lang="en-US"/>
              <a:t>Torsion Diagram</a:t>
            </a:r>
          </a:p>
        </c:rich>
      </c:tx>
      <c:overlay val="0"/>
    </c:title>
    <c:autoTitleDeleted val="0"/>
    <c:plotArea>
      <c:layout/>
      <c:scatterChart>
        <c:scatterStyle val="lineMarker"/>
        <c:varyColors val="0"/>
        <c:ser>
          <c:idx val="0"/>
          <c:order val="0"/>
          <c:spPr>
            <a:ln w="44450">
              <a:solidFill>
                <a:srgbClr val="0070C0"/>
              </a:solidFill>
            </a:ln>
          </c:spPr>
          <c:marker>
            <c:symbol val="none"/>
          </c:marker>
          <c:xVal>
            <c:numRef>
              <c:f>Graphs!$O$6:$O$812</c:f>
              <c:numCache>
                <c:formatCode>General</c:formatCode>
                <c:ptCount val="807"/>
                <c:pt idx="0">
                  <c:v>0</c:v>
                </c:pt>
                <c:pt idx="1">
                  <c:v>0.19572697508833226</c:v>
                </c:pt>
                <c:pt idx="2">
                  <c:v>0.19593604008833229</c:v>
                </c:pt>
                <c:pt idx="3">
                  <c:v>0.19635417008833225</c:v>
                </c:pt>
                <c:pt idx="4">
                  <c:v>0.19656323508833229</c:v>
                </c:pt>
                <c:pt idx="5">
                  <c:v>0.96448100682755367</c:v>
                </c:pt>
                <c:pt idx="6">
                  <c:v>0.96469007182755373</c:v>
                </c:pt>
                <c:pt idx="7">
                  <c:v>0.96510820182755364</c:v>
                </c:pt>
                <c:pt idx="8">
                  <c:v>0.9653172668275537</c:v>
                </c:pt>
                <c:pt idx="9">
                  <c:v>2.0902318700000002</c:v>
                </c:pt>
                <c:pt idx="10">
                  <c:v>2.0904409350000002</c:v>
                </c:pt>
                <c:pt idx="11">
                  <c:v>2.0908590650000001</c:v>
                </c:pt>
                <c:pt idx="12">
                  <c:v>2.09106813</c:v>
                </c:pt>
                <c:pt idx="13">
                  <c:v>3.2159827331724471</c:v>
                </c:pt>
                <c:pt idx="14">
                  <c:v>3.216191798172447</c:v>
                </c:pt>
                <c:pt idx="15">
                  <c:v>3.216609928172447</c:v>
                </c:pt>
                <c:pt idx="16">
                  <c:v>3.2168189931724469</c:v>
                </c:pt>
                <c:pt idx="17">
                  <c:v>3.9847367649116681</c:v>
                </c:pt>
                <c:pt idx="18">
                  <c:v>3.984945829911668</c:v>
                </c:pt>
                <c:pt idx="19">
                  <c:v>3.9853639599116679</c:v>
                </c:pt>
                <c:pt idx="20">
                  <c:v>3.9855730249116679</c:v>
                </c:pt>
                <c:pt idx="21">
                  <c:v>4.3770269750883326</c:v>
                </c:pt>
                <c:pt idx="22">
                  <c:v>4.3772360400883326</c:v>
                </c:pt>
                <c:pt idx="23">
                  <c:v>4.3776541700883325</c:v>
                </c:pt>
                <c:pt idx="24">
                  <c:v>4.3778632350883324</c:v>
                </c:pt>
                <c:pt idx="25">
                  <c:v>5.145781006827554</c:v>
                </c:pt>
                <c:pt idx="26">
                  <c:v>5.145990071827554</c:v>
                </c:pt>
                <c:pt idx="27">
                  <c:v>5.1464082018275539</c:v>
                </c:pt>
                <c:pt idx="28">
                  <c:v>5.1466172668275538</c:v>
                </c:pt>
                <c:pt idx="29">
                  <c:v>6.2715318700000005</c:v>
                </c:pt>
                <c:pt idx="30">
                  <c:v>6.2717409350000004</c:v>
                </c:pt>
                <c:pt idx="31">
                  <c:v>6.2721590650000003</c:v>
                </c:pt>
                <c:pt idx="32">
                  <c:v>6.2723681300000003</c:v>
                </c:pt>
                <c:pt idx="33">
                  <c:v>7.3972827331724469</c:v>
                </c:pt>
                <c:pt idx="34">
                  <c:v>7.3974917981724468</c:v>
                </c:pt>
                <c:pt idx="35">
                  <c:v>7.3979099281724467</c:v>
                </c:pt>
                <c:pt idx="36">
                  <c:v>7.3981189931724467</c:v>
                </c:pt>
                <c:pt idx="37">
                  <c:v>8.1660367649116683</c:v>
                </c:pt>
                <c:pt idx="38">
                  <c:v>8.1662458299116683</c:v>
                </c:pt>
                <c:pt idx="39">
                  <c:v>8.1666639599116682</c:v>
                </c:pt>
                <c:pt idx="40">
                  <c:v>8.1668730249116681</c:v>
                </c:pt>
                <c:pt idx="41">
                  <c:v>8.5583269750883328</c:v>
                </c:pt>
                <c:pt idx="42">
                  <c:v>8.5585360400883328</c:v>
                </c:pt>
                <c:pt idx="43">
                  <c:v>8.5589541700883327</c:v>
                </c:pt>
                <c:pt idx="44">
                  <c:v>8.5591632350883327</c:v>
                </c:pt>
                <c:pt idx="45">
                  <c:v>9.3270810068275534</c:v>
                </c:pt>
                <c:pt idx="46">
                  <c:v>9.3272900718275533</c:v>
                </c:pt>
                <c:pt idx="47">
                  <c:v>9.3277082018275532</c:v>
                </c:pt>
                <c:pt idx="48">
                  <c:v>9.3279172668275532</c:v>
                </c:pt>
                <c:pt idx="49">
                  <c:v>10.452831870000001</c:v>
                </c:pt>
                <c:pt idx="50">
                  <c:v>10.453040935000001</c:v>
                </c:pt>
                <c:pt idx="51">
                  <c:v>10.453459065000001</c:v>
                </c:pt>
                <c:pt idx="52">
                  <c:v>10.453668130000001</c:v>
                </c:pt>
                <c:pt idx="53">
                  <c:v>11.578582733172446</c:v>
                </c:pt>
                <c:pt idx="54">
                  <c:v>11.578791798172446</c:v>
                </c:pt>
                <c:pt idx="55">
                  <c:v>11.579209928172446</c:v>
                </c:pt>
                <c:pt idx="56">
                  <c:v>11.579418993172446</c:v>
                </c:pt>
                <c:pt idx="57">
                  <c:v>12.347336764911669</c:v>
                </c:pt>
                <c:pt idx="58">
                  <c:v>12.347545829911668</c:v>
                </c:pt>
                <c:pt idx="59">
                  <c:v>12.347963959911668</c:v>
                </c:pt>
                <c:pt idx="60">
                  <c:v>12.348173024911668</c:v>
                </c:pt>
                <c:pt idx="61">
                  <c:v>12.739626975088333</c:v>
                </c:pt>
                <c:pt idx="62">
                  <c:v>12.739836040088333</c:v>
                </c:pt>
                <c:pt idx="63">
                  <c:v>12.740254170088333</c:v>
                </c:pt>
                <c:pt idx="64">
                  <c:v>12.740463235088333</c:v>
                </c:pt>
                <c:pt idx="65">
                  <c:v>13.508381006827554</c:v>
                </c:pt>
                <c:pt idx="66">
                  <c:v>13.508590071827554</c:v>
                </c:pt>
                <c:pt idx="67">
                  <c:v>13.509008201827553</c:v>
                </c:pt>
                <c:pt idx="68">
                  <c:v>13.509217266827553</c:v>
                </c:pt>
                <c:pt idx="69">
                  <c:v>14.634131869999999</c:v>
                </c:pt>
                <c:pt idx="70">
                  <c:v>14.634340934999999</c:v>
                </c:pt>
                <c:pt idx="71">
                  <c:v>14.634759064999999</c:v>
                </c:pt>
                <c:pt idx="72">
                  <c:v>14.634968129999999</c:v>
                </c:pt>
                <c:pt idx="73">
                  <c:v>15.759882733172446</c:v>
                </c:pt>
                <c:pt idx="74">
                  <c:v>15.760091798172446</c:v>
                </c:pt>
                <c:pt idx="75">
                  <c:v>15.760509928172446</c:v>
                </c:pt>
                <c:pt idx="76">
                  <c:v>15.760718993172446</c:v>
                </c:pt>
                <c:pt idx="77">
                  <c:v>16.528636764911667</c:v>
                </c:pt>
                <c:pt idx="78">
                  <c:v>16.528845829911667</c:v>
                </c:pt>
                <c:pt idx="79">
                  <c:v>16.529263959911667</c:v>
                </c:pt>
                <c:pt idx="80">
                  <c:v>16.529473024911667</c:v>
                </c:pt>
                <c:pt idx="81">
                  <c:v>16.920926975088335</c:v>
                </c:pt>
                <c:pt idx="82">
                  <c:v>16.921136040088335</c:v>
                </c:pt>
                <c:pt idx="83">
                  <c:v>16.921554170088335</c:v>
                </c:pt>
                <c:pt idx="84">
                  <c:v>16.921763235088335</c:v>
                </c:pt>
                <c:pt idx="85">
                  <c:v>17.689681006827556</c:v>
                </c:pt>
                <c:pt idx="86">
                  <c:v>17.689890071827556</c:v>
                </c:pt>
                <c:pt idx="87">
                  <c:v>17.690308201827555</c:v>
                </c:pt>
                <c:pt idx="88">
                  <c:v>17.690517266827555</c:v>
                </c:pt>
                <c:pt idx="89">
                  <c:v>18.815431870000001</c:v>
                </c:pt>
                <c:pt idx="90">
                  <c:v>18.815640935000001</c:v>
                </c:pt>
                <c:pt idx="91">
                  <c:v>18.816059065000001</c:v>
                </c:pt>
                <c:pt idx="92">
                  <c:v>18.816268130000001</c:v>
                </c:pt>
                <c:pt idx="93">
                  <c:v>19.94118273317245</c:v>
                </c:pt>
                <c:pt idx="94">
                  <c:v>19.94139179817245</c:v>
                </c:pt>
                <c:pt idx="95">
                  <c:v>19.94180992817245</c:v>
                </c:pt>
                <c:pt idx="96">
                  <c:v>19.94201899317245</c:v>
                </c:pt>
                <c:pt idx="97">
                  <c:v>20.709936764911671</c:v>
                </c:pt>
                <c:pt idx="98">
                  <c:v>20.710145829911671</c:v>
                </c:pt>
                <c:pt idx="99">
                  <c:v>20.710563959911671</c:v>
                </c:pt>
                <c:pt idx="100">
                  <c:v>20.710773024911671</c:v>
                </c:pt>
                <c:pt idx="101">
                  <c:v>21.102226975088332</c:v>
                </c:pt>
                <c:pt idx="102">
                  <c:v>21.102436040088332</c:v>
                </c:pt>
                <c:pt idx="103">
                  <c:v>21.102854170088332</c:v>
                </c:pt>
                <c:pt idx="104">
                  <c:v>21.103063235088332</c:v>
                </c:pt>
                <c:pt idx="105">
                  <c:v>21.870981006827552</c:v>
                </c:pt>
                <c:pt idx="106">
                  <c:v>21.871190071827552</c:v>
                </c:pt>
                <c:pt idx="107">
                  <c:v>21.871608201827556</c:v>
                </c:pt>
                <c:pt idx="108">
                  <c:v>21.871817266827552</c:v>
                </c:pt>
                <c:pt idx="109">
                  <c:v>22.996731870000001</c:v>
                </c:pt>
                <c:pt idx="110">
                  <c:v>22.996940934999998</c:v>
                </c:pt>
                <c:pt idx="111">
                  <c:v>22.997359065000001</c:v>
                </c:pt>
                <c:pt idx="112">
                  <c:v>22.997568130000001</c:v>
                </c:pt>
                <c:pt idx="113">
                  <c:v>24.122482733172447</c:v>
                </c:pt>
                <c:pt idx="114">
                  <c:v>24.122691798172443</c:v>
                </c:pt>
                <c:pt idx="115">
                  <c:v>24.12310992817245</c:v>
                </c:pt>
                <c:pt idx="116">
                  <c:v>24.123318993172447</c:v>
                </c:pt>
                <c:pt idx="117">
                  <c:v>24.891236764911667</c:v>
                </c:pt>
                <c:pt idx="118">
                  <c:v>24.891445829911664</c:v>
                </c:pt>
                <c:pt idx="119">
                  <c:v>24.891863959911671</c:v>
                </c:pt>
                <c:pt idx="120">
                  <c:v>24.892073024911667</c:v>
                </c:pt>
                <c:pt idx="121">
                  <c:v>25.283526975088332</c:v>
                </c:pt>
                <c:pt idx="122">
                  <c:v>25.283736040088328</c:v>
                </c:pt>
                <c:pt idx="123">
                  <c:v>25.284154170088332</c:v>
                </c:pt>
                <c:pt idx="124">
                  <c:v>25.284363235088332</c:v>
                </c:pt>
                <c:pt idx="125">
                  <c:v>26.052281006827553</c:v>
                </c:pt>
                <c:pt idx="126">
                  <c:v>26.052490071827549</c:v>
                </c:pt>
                <c:pt idx="127">
                  <c:v>26.052908201827552</c:v>
                </c:pt>
                <c:pt idx="128">
                  <c:v>26.053117266827552</c:v>
                </c:pt>
                <c:pt idx="129">
                  <c:v>27.178031869999998</c:v>
                </c:pt>
                <c:pt idx="130">
                  <c:v>27.178240934999994</c:v>
                </c:pt>
                <c:pt idx="131">
                  <c:v>27.178659065000002</c:v>
                </c:pt>
                <c:pt idx="132">
                  <c:v>27.178868129999998</c:v>
                </c:pt>
                <c:pt idx="133">
                  <c:v>28.303782733172444</c:v>
                </c:pt>
                <c:pt idx="134">
                  <c:v>28.303991798172444</c:v>
                </c:pt>
                <c:pt idx="135">
                  <c:v>28.304409928172447</c:v>
                </c:pt>
                <c:pt idx="136">
                  <c:v>28.304618993172443</c:v>
                </c:pt>
                <c:pt idx="137">
                  <c:v>29.072536764911664</c:v>
                </c:pt>
                <c:pt idx="138">
                  <c:v>29.072745829911664</c:v>
                </c:pt>
                <c:pt idx="139">
                  <c:v>29.073163959911668</c:v>
                </c:pt>
                <c:pt idx="140">
                  <c:v>29.073373024911664</c:v>
                </c:pt>
                <c:pt idx="141">
                  <c:v>29.464826975088332</c:v>
                </c:pt>
                <c:pt idx="142">
                  <c:v>29.465036040088332</c:v>
                </c:pt>
                <c:pt idx="143">
                  <c:v>29.465454170088336</c:v>
                </c:pt>
                <c:pt idx="144">
                  <c:v>29.465663235088332</c:v>
                </c:pt>
                <c:pt idx="145">
                  <c:v>30.233581006827553</c:v>
                </c:pt>
                <c:pt idx="146">
                  <c:v>30.233790071827553</c:v>
                </c:pt>
                <c:pt idx="147">
                  <c:v>30.234208201827556</c:v>
                </c:pt>
                <c:pt idx="148">
                  <c:v>30.234417266827553</c:v>
                </c:pt>
                <c:pt idx="149">
                  <c:v>31.359331870000002</c:v>
                </c:pt>
                <c:pt idx="150">
                  <c:v>31.359540934999998</c:v>
                </c:pt>
                <c:pt idx="151">
                  <c:v>31.359959065000002</c:v>
                </c:pt>
                <c:pt idx="152">
                  <c:v>31.360168130000002</c:v>
                </c:pt>
                <c:pt idx="153">
                  <c:v>32.485082733172447</c:v>
                </c:pt>
                <c:pt idx="154">
                  <c:v>32.485291798172447</c:v>
                </c:pt>
                <c:pt idx="155">
                  <c:v>32.485709928172447</c:v>
                </c:pt>
                <c:pt idx="156">
                  <c:v>32.485918993172447</c:v>
                </c:pt>
                <c:pt idx="157">
                  <c:v>33.253836764911668</c:v>
                </c:pt>
                <c:pt idx="158">
                  <c:v>33.254045829911668</c:v>
                </c:pt>
                <c:pt idx="159">
                  <c:v>33.254463959911668</c:v>
                </c:pt>
                <c:pt idx="160">
                  <c:v>33.254673024911668</c:v>
                </c:pt>
                <c:pt idx="161">
                  <c:v>33.646126975088336</c:v>
                </c:pt>
                <c:pt idx="162">
                  <c:v>33.646336040088336</c:v>
                </c:pt>
                <c:pt idx="163">
                  <c:v>33.646754170088336</c:v>
                </c:pt>
                <c:pt idx="164">
                  <c:v>33.646963235088336</c:v>
                </c:pt>
                <c:pt idx="165">
                  <c:v>34.414881006827557</c:v>
                </c:pt>
                <c:pt idx="166">
                  <c:v>34.415090071827557</c:v>
                </c:pt>
                <c:pt idx="167">
                  <c:v>34.415508201827556</c:v>
                </c:pt>
                <c:pt idx="168">
                  <c:v>34.415717266827556</c:v>
                </c:pt>
                <c:pt idx="169">
                  <c:v>35.540631870000006</c:v>
                </c:pt>
                <c:pt idx="170">
                  <c:v>35.540840934999999</c:v>
                </c:pt>
                <c:pt idx="171">
                  <c:v>35.541259065000006</c:v>
                </c:pt>
                <c:pt idx="172">
                  <c:v>35.541468130000005</c:v>
                </c:pt>
                <c:pt idx="173">
                  <c:v>36.666382733172448</c:v>
                </c:pt>
                <c:pt idx="174">
                  <c:v>36.666591798172448</c:v>
                </c:pt>
                <c:pt idx="175">
                  <c:v>36.667009928172455</c:v>
                </c:pt>
                <c:pt idx="176">
                  <c:v>36.667218993172447</c:v>
                </c:pt>
                <c:pt idx="177">
                  <c:v>37.435136764911668</c:v>
                </c:pt>
                <c:pt idx="178">
                  <c:v>37.435345829911668</c:v>
                </c:pt>
                <c:pt idx="179">
                  <c:v>37.435763959911675</c:v>
                </c:pt>
                <c:pt idx="180">
                  <c:v>37.435973024911668</c:v>
                </c:pt>
                <c:pt idx="181">
                  <c:v>37.827426975088336</c:v>
                </c:pt>
                <c:pt idx="182">
                  <c:v>37.827636040088336</c:v>
                </c:pt>
                <c:pt idx="183">
                  <c:v>37.828054170088343</c:v>
                </c:pt>
                <c:pt idx="184">
                  <c:v>37.828263235088336</c:v>
                </c:pt>
                <c:pt idx="185">
                  <c:v>38.596181006827557</c:v>
                </c:pt>
                <c:pt idx="186">
                  <c:v>38.596390071827557</c:v>
                </c:pt>
                <c:pt idx="187">
                  <c:v>38.596808201827564</c:v>
                </c:pt>
                <c:pt idx="188">
                  <c:v>38.597017266827557</c:v>
                </c:pt>
                <c:pt idx="189">
                  <c:v>39.721931870000006</c:v>
                </c:pt>
                <c:pt idx="190">
                  <c:v>39.722140935000006</c:v>
                </c:pt>
                <c:pt idx="191">
                  <c:v>39.722559065000006</c:v>
                </c:pt>
                <c:pt idx="192">
                  <c:v>39.722768130000006</c:v>
                </c:pt>
                <c:pt idx="193">
                  <c:v>40.847682733172455</c:v>
                </c:pt>
                <c:pt idx="194">
                  <c:v>40.847891798172448</c:v>
                </c:pt>
                <c:pt idx="195">
                  <c:v>40.848309928172455</c:v>
                </c:pt>
                <c:pt idx="196">
                  <c:v>40.848518993172455</c:v>
                </c:pt>
                <c:pt idx="197">
                  <c:v>41.616436764911676</c:v>
                </c:pt>
                <c:pt idx="198">
                  <c:v>41.616645829911668</c:v>
                </c:pt>
                <c:pt idx="199">
                  <c:v>41.617063959911675</c:v>
                </c:pt>
                <c:pt idx="200">
                  <c:v>41.617273024911675</c:v>
                </c:pt>
                <c:pt idx="201">
                  <c:v>41.96279692769884</c:v>
                </c:pt>
                <c:pt idx="202">
                  <c:v>41.962956932699043</c:v>
                </c:pt>
                <c:pt idx="203">
                  <c:v>41.963276942699459</c:v>
                </c:pt>
                <c:pt idx="204">
                  <c:v>41.963436947699662</c:v>
                </c:pt>
                <c:pt idx="205">
                  <c:v>42.551152171316382</c:v>
                </c:pt>
                <c:pt idx="206">
                  <c:v>42.551312176316586</c:v>
                </c:pt>
                <c:pt idx="207">
                  <c:v>42.551632186317001</c:v>
                </c:pt>
                <c:pt idx="208">
                  <c:v>42.551792191317205</c:v>
                </c:pt>
                <c:pt idx="209">
                  <c:v>43.412729992060953</c:v>
                </c:pt>
                <c:pt idx="210">
                  <c:v>43.412889997061164</c:v>
                </c:pt>
                <c:pt idx="211">
                  <c:v>43.413210007061572</c:v>
                </c:pt>
                <c:pt idx="212">
                  <c:v>43.413370012061783</c:v>
                </c:pt>
                <c:pt idx="213">
                  <c:v>44.274307812805525</c:v>
                </c:pt>
                <c:pt idx="214">
                  <c:v>44.274467817805736</c:v>
                </c:pt>
                <c:pt idx="215">
                  <c:v>44.274787827806144</c:v>
                </c:pt>
                <c:pt idx="216">
                  <c:v>44.274947832806355</c:v>
                </c:pt>
                <c:pt idx="217">
                  <c:v>44.862663056423081</c:v>
                </c:pt>
                <c:pt idx="218">
                  <c:v>44.862823061423285</c:v>
                </c:pt>
                <c:pt idx="219">
                  <c:v>44.8631430714237</c:v>
                </c:pt>
                <c:pt idx="220">
                  <c:v>44.863303076423904</c:v>
                </c:pt>
                <c:pt idx="221">
                  <c:v>45.162896931821535</c:v>
                </c:pt>
                <c:pt idx="222">
                  <c:v>45.163056936821739</c:v>
                </c:pt>
                <c:pt idx="223">
                  <c:v>45.163376946822154</c:v>
                </c:pt>
                <c:pt idx="224">
                  <c:v>45.163536951822358</c:v>
                </c:pt>
                <c:pt idx="225">
                  <c:v>45.751252175439085</c:v>
                </c:pt>
                <c:pt idx="226">
                  <c:v>45.751412180439296</c:v>
                </c:pt>
                <c:pt idx="227">
                  <c:v>45.751732190439704</c:v>
                </c:pt>
                <c:pt idx="228">
                  <c:v>45.751892195439915</c:v>
                </c:pt>
                <c:pt idx="229">
                  <c:v>46.612829996183656</c:v>
                </c:pt>
                <c:pt idx="230">
                  <c:v>46.612990001183867</c:v>
                </c:pt>
                <c:pt idx="231">
                  <c:v>46.613310011184275</c:v>
                </c:pt>
                <c:pt idx="232">
                  <c:v>46.613470016184486</c:v>
                </c:pt>
                <c:pt idx="233">
                  <c:v>47.474407816928228</c:v>
                </c:pt>
                <c:pt idx="234">
                  <c:v>47.474567821928439</c:v>
                </c:pt>
                <c:pt idx="235">
                  <c:v>47.474887831928847</c:v>
                </c:pt>
                <c:pt idx="236">
                  <c:v>47.475047836929058</c:v>
                </c:pt>
                <c:pt idx="237">
                  <c:v>48.062763060545784</c:v>
                </c:pt>
                <c:pt idx="238">
                  <c:v>48.062923065545988</c:v>
                </c:pt>
                <c:pt idx="239">
                  <c:v>48.063243075546403</c:v>
                </c:pt>
                <c:pt idx="240">
                  <c:v>48.063403080546607</c:v>
                </c:pt>
                <c:pt idx="241">
                  <c:v>48.36299693594426</c:v>
                </c:pt>
                <c:pt idx="242">
                  <c:v>48.363156940944464</c:v>
                </c:pt>
                <c:pt idx="243">
                  <c:v>48.363476950944879</c:v>
                </c:pt>
                <c:pt idx="244">
                  <c:v>48.363636955945083</c:v>
                </c:pt>
                <c:pt idx="245">
                  <c:v>48.951352179561809</c:v>
                </c:pt>
                <c:pt idx="246">
                  <c:v>48.951512184562013</c:v>
                </c:pt>
                <c:pt idx="247">
                  <c:v>48.951832194562428</c:v>
                </c:pt>
                <c:pt idx="248">
                  <c:v>48.951992199562632</c:v>
                </c:pt>
                <c:pt idx="249">
                  <c:v>49.81293000030638</c:v>
                </c:pt>
                <c:pt idx="250">
                  <c:v>49.813090005306584</c:v>
                </c:pt>
                <c:pt idx="251">
                  <c:v>49.813410015306999</c:v>
                </c:pt>
                <c:pt idx="252">
                  <c:v>49.813570020307203</c:v>
                </c:pt>
                <c:pt idx="253">
                  <c:v>50.674507821050952</c:v>
                </c:pt>
                <c:pt idx="254">
                  <c:v>50.674667826051156</c:v>
                </c:pt>
                <c:pt idx="255">
                  <c:v>50.674987836051571</c:v>
                </c:pt>
                <c:pt idx="256">
                  <c:v>50.675147841051775</c:v>
                </c:pt>
                <c:pt idx="257">
                  <c:v>51.262863064668501</c:v>
                </c:pt>
                <c:pt idx="258">
                  <c:v>51.263023069668712</c:v>
                </c:pt>
                <c:pt idx="259">
                  <c:v>51.26334307966912</c:v>
                </c:pt>
                <c:pt idx="260">
                  <c:v>51.263503084669331</c:v>
                </c:pt>
                <c:pt idx="261">
                  <c:v>51.563096940066963</c:v>
                </c:pt>
                <c:pt idx="262">
                  <c:v>51.563256945067167</c:v>
                </c:pt>
                <c:pt idx="263">
                  <c:v>51.563576955067582</c:v>
                </c:pt>
                <c:pt idx="264">
                  <c:v>51.563736960067786</c:v>
                </c:pt>
                <c:pt idx="265">
                  <c:v>52.151452183684512</c:v>
                </c:pt>
                <c:pt idx="266">
                  <c:v>52.151612188684716</c:v>
                </c:pt>
                <c:pt idx="267">
                  <c:v>52.151932198685131</c:v>
                </c:pt>
                <c:pt idx="268">
                  <c:v>52.152092203685335</c:v>
                </c:pt>
                <c:pt idx="269">
                  <c:v>53.013030004429083</c:v>
                </c:pt>
                <c:pt idx="270">
                  <c:v>53.013190009429287</c:v>
                </c:pt>
                <c:pt idx="271">
                  <c:v>53.013510019429702</c:v>
                </c:pt>
                <c:pt idx="272">
                  <c:v>53.013670024429906</c:v>
                </c:pt>
                <c:pt idx="273">
                  <c:v>53.874607825173655</c:v>
                </c:pt>
                <c:pt idx="274">
                  <c:v>53.874767830173859</c:v>
                </c:pt>
                <c:pt idx="275">
                  <c:v>53.875087840174274</c:v>
                </c:pt>
                <c:pt idx="276">
                  <c:v>53.875247845174478</c:v>
                </c:pt>
                <c:pt idx="277">
                  <c:v>54.462963068791204</c:v>
                </c:pt>
                <c:pt idx="278">
                  <c:v>54.463123073791415</c:v>
                </c:pt>
                <c:pt idx="279">
                  <c:v>54.463443083791823</c:v>
                </c:pt>
                <c:pt idx="280">
                  <c:v>54.463603088792034</c:v>
                </c:pt>
                <c:pt idx="281">
                  <c:v>54.76319694418968</c:v>
                </c:pt>
                <c:pt idx="282">
                  <c:v>54.763356949189891</c:v>
                </c:pt>
                <c:pt idx="283">
                  <c:v>54.763676959190299</c:v>
                </c:pt>
                <c:pt idx="284">
                  <c:v>54.76383696419051</c:v>
                </c:pt>
                <c:pt idx="285">
                  <c:v>55.351552187807236</c:v>
                </c:pt>
                <c:pt idx="286">
                  <c:v>55.35171219280744</c:v>
                </c:pt>
                <c:pt idx="287">
                  <c:v>55.352032202807855</c:v>
                </c:pt>
                <c:pt idx="288">
                  <c:v>55.352192207808059</c:v>
                </c:pt>
                <c:pt idx="289">
                  <c:v>56.213130008551808</c:v>
                </c:pt>
                <c:pt idx="290">
                  <c:v>56.213290013552012</c:v>
                </c:pt>
                <c:pt idx="291">
                  <c:v>56.213610023552427</c:v>
                </c:pt>
                <c:pt idx="292">
                  <c:v>56.213770028552631</c:v>
                </c:pt>
                <c:pt idx="293">
                  <c:v>57.074707829296379</c:v>
                </c:pt>
                <c:pt idx="294">
                  <c:v>57.074867834296583</c:v>
                </c:pt>
                <c:pt idx="295">
                  <c:v>57.075187844296998</c:v>
                </c:pt>
                <c:pt idx="296">
                  <c:v>57.075347849297202</c:v>
                </c:pt>
                <c:pt idx="297">
                  <c:v>57.663063072913928</c:v>
                </c:pt>
                <c:pt idx="298">
                  <c:v>57.663223077914132</c:v>
                </c:pt>
                <c:pt idx="299">
                  <c:v>57.663543087914547</c:v>
                </c:pt>
                <c:pt idx="300">
                  <c:v>57.663703092914751</c:v>
                </c:pt>
                <c:pt idx="301">
                  <c:v>57.963296948312383</c:v>
                </c:pt>
                <c:pt idx="302">
                  <c:v>57.963456953312594</c:v>
                </c:pt>
                <c:pt idx="303">
                  <c:v>57.963776963313002</c:v>
                </c:pt>
                <c:pt idx="304">
                  <c:v>57.963936968313213</c:v>
                </c:pt>
                <c:pt idx="305">
                  <c:v>58.551652191929939</c:v>
                </c:pt>
                <c:pt idx="306">
                  <c:v>58.551812196930143</c:v>
                </c:pt>
                <c:pt idx="307">
                  <c:v>58.552132206930558</c:v>
                </c:pt>
                <c:pt idx="308">
                  <c:v>58.552292211930762</c:v>
                </c:pt>
                <c:pt idx="309">
                  <c:v>59.413230012674511</c:v>
                </c:pt>
                <c:pt idx="310">
                  <c:v>59.413390017674715</c:v>
                </c:pt>
                <c:pt idx="311">
                  <c:v>59.41371002767513</c:v>
                </c:pt>
                <c:pt idx="312">
                  <c:v>59.413870032675334</c:v>
                </c:pt>
                <c:pt idx="313">
                  <c:v>60.274807833419082</c:v>
                </c:pt>
                <c:pt idx="314">
                  <c:v>60.274967838419286</c:v>
                </c:pt>
                <c:pt idx="315">
                  <c:v>60.275287848419701</c:v>
                </c:pt>
                <c:pt idx="316">
                  <c:v>60.275447853419905</c:v>
                </c:pt>
                <c:pt idx="317">
                  <c:v>60.863163077036631</c:v>
                </c:pt>
                <c:pt idx="318">
                  <c:v>60.863323082036835</c:v>
                </c:pt>
                <c:pt idx="319">
                  <c:v>60.86364309203725</c:v>
                </c:pt>
                <c:pt idx="320">
                  <c:v>60.863803097037454</c:v>
                </c:pt>
                <c:pt idx="321">
                  <c:v>61.163396952435107</c:v>
                </c:pt>
                <c:pt idx="322">
                  <c:v>61.163556957435311</c:v>
                </c:pt>
                <c:pt idx="323">
                  <c:v>61.163876967435726</c:v>
                </c:pt>
                <c:pt idx="324">
                  <c:v>61.16403697243593</c:v>
                </c:pt>
                <c:pt idx="325">
                  <c:v>61.751752196052657</c:v>
                </c:pt>
                <c:pt idx="326">
                  <c:v>61.751912201052868</c:v>
                </c:pt>
                <c:pt idx="327">
                  <c:v>61.752232211053276</c:v>
                </c:pt>
                <c:pt idx="328">
                  <c:v>61.752392216053487</c:v>
                </c:pt>
                <c:pt idx="329">
                  <c:v>62.613330016797228</c:v>
                </c:pt>
                <c:pt idx="330">
                  <c:v>62.613490021797439</c:v>
                </c:pt>
                <c:pt idx="331">
                  <c:v>62.613810031797847</c:v>
                </c:pt>
                <c:pt idx="332">
                  <c:v>62.613970036798058</c:v>
                </c:pt>
                <c:pt idx="333">
                  <c:v>63.474907837541799</c:v>
                </c:pt>
                <c:pt idx="334">
                  <c:v>63.475067842542011</c:v>
                </c:pt>
                <c:pt idx="335">
                  <c:v>63.475387852542418</c:v>
                </c:pt>
                <c:pt idx="336">
                  <c:v>63.47554785754263</c:v>
                </c:pt>
                <c:pt idx="337">
                  <c:v>64.063263081159349</c:v>
                </c:pt>
                <c:pt idx="338">
                  <c:v>64.06342308615956</c:v>
                </c:pt>
                <c:pt idx="339">
                  <c:v>64.063743096159968</c:v>
                </c:pt>
                <c:pt idx="340">
                  <c:v>64.063903101160179</c:v>
                </c:pt>
                <c:pt idx="341">
                  <c:v>64.36349695655781</c:v>
                </c:pt>
                <c:pt idx="342">
                  <c:v>64.363656961558021</c:v>
                </c:pt>
                <c:pt idx="343">
                  <c:v>64.363976971558429</c:v>
                </c:pt>
                <c:pt idx="344">
                  <c:v>64.36413697655864</c:v>
                </c:pt>
                <c:pt idx="345">
                  <c:v>64.951852200175367</c:v>
                </c:pt>
                <c:pt idx="346">
                  <c:v>64.952012205175564</c:v>
                </c:pt>
                <c:pt idx="347">
                  <c:v>64.952332215175986</c:v>
                </c:pt>
                <c:pt idx="348">
                  <c:v>64.952492220176183</c:v>
                </c:pt>
                <c:pt idx="349">
                  <c:v>65.813430020919938</c:v>
                </c:pt>
                <c:pt idx="350">
                  <c:v>65.813590025920135</c:v>
                </c:pt>
                <c:pt idx="351">
                  <c:v>65.813910035920557</c:v>
                </c:pt>
                <c:pt idx="352">
                  <c:v>65.814070040920754</c:v>
                </c:pt>
                <c:pt idx="353">
                  <c:v>66.67500784166451</c:v>
                </c:pt>
                <c:pt idx="354">
                  <c:v>66.675167846664706</c:v>
                </c:pt>
                <c:pt idx="355">
                  <c:v>66.675487856665129</c:v>
                </c:pt>
                <c:pt idx="356">
                  <c:v>66.675647861665325</c:v>
                </c:pt>
                <c:pt idx="357">
                  <c:v>67.263363085282052</c:v>
                </c:pt>
                <c:pt idx="358">
                  <c:v>67.263523090282263</c:v>
                </c:pt>
                <c:pt idx="359">
                  <c:v>67.263843100282671</c:v>
                </c:pt>
                <c:pt idx="360">
                  <c:v>67.264003105282882</c:v>
                </c:pt>
                <c:pt idx="361">
                  <c:v>67.563596960680528</c:v>
                </c:pt>
                <c:pt idx="362">
                  <c:v>67.563756965680739</c:v>
                </c:pt>
                <c:pt idx="363">
                  <c:v>67.564076975681147</c:v>
                </c:pt>
                <c:pt idx="364">
                  <c:v>67.564236980681358</c:v>
                </c:pt>
                <c:pt idx="365">
                  <c:v>68.151952204298084</c:v>
                </c:pt>
                <c:pt idx="366">
                  <c:v>68.152112209298295</c:v>
                </c:pt>
                <c:pt idx="367">
                  <c:v>68.152432219298703</c:v>
                </c:pt>
                <c:pt idx="368">
                  <c:v>68.152592224298914</c:v>
                </c:pt>
                <c:pt idx="369">
                  <c:v>69.013530025042655</c:v>
                </c:pt>
                <c:pt idx="370">
                  <c:v>69.013690030042866</c:v>
                </c:pt>
                <c:pt idx="371">
                  <c:v>69.014010040043274</c:v>
                </c:pt>
                <c:pt idx="372">
                  <c:v>69.014170045043485</c:v>
                </c:pt>
                <c:pt idx="373">
                  <c:v>69.875107845787227</c:v>
                </c:pt>
                <c:pt idx="374">
                  <c:v>69.875267850787438</c:v>
                </c:pt>
                <c:pt idx="375">
                  <c:v>69.875587860787846</c:v>
                </c:pt>
                <c:pt idx="376">
                  <c:v>69.875747865788057</c:v>
                </c:pt>
                <c:pt idx="377">
                  <c:v>70.463463089404783</c:v>
                </c:pt>
                <c:pt idx="378">
                  <c:v>70.46362309440498</c:v>
                </c:pt>
                <c:pt idx="379">
                  <c:v>70.463943104405402</c:v>
                </c:pt>
                <c:pt idx="380">
                  <c:v>70.464103109405599</c:v>
                </c:pt>
                <c:pt idx="381">
                  <c:v>70.763696964803231</c:v>
                </c:pt>
                <c:pt idx="382">
                  <c:v>70.763856969803442</c:v>
                </c:pt>
                <c:pt idx="383">
                  <c:v>70.76417697980385</c:v>
                </c:pt>
                <c:pt idx="384">
                  <c:v>70.764336984804061</c:v>
                </c:pt>
                <c:pt idx="385">
                  <c:v>71.352052208420787</c:v>
                </c:pt>
                <c:pt idx="386">
                  <c:v>71.352212213420998</c:v>
                </c:pt>
                <c:pt idx="387">
                  <c:v>71.352532223421406</c:v>
                </c:pt>
                <c:pt idx="388">
                  <c:v>71.352692228421617</c:v>
                </c:pt>
                <c:pt idx="389">
                  <c:v>72.213630029165358</c:v>
                </c:pt>
                <c:pt idx="390">
                  <c:v>72.213790034165569</c:v>
                </c:pt>
                <c:pt idx="391">
                  <c:v>72.214110044165977</c:v>
                </c:pt>
                <c:pt idx="392">
                  <c:v>72.214270049166188</c:v>
                </c:pt>
                <c:pt idx="393">
                  <c:v>73.07520784990993</c:v>
                </c:pt>
                <c:pt idx="394">
                  <c:v>73.075367854910141</c:v>
                </c:pt>
                <c:pt idx="395">
                  <c:v>73.075687864910549</c:v>
                </c:pt>
                <c:pt idx="396">
                  <c:v>73.07584786991076</c:v>
                </c:pt>
                <c:pt idx="397">
                  <c:v>73.663563093527486</c:v>
                </c:pt>
                <c:pt idx="398">
                  <c:v>73.663723098527683</c:v>
                </c:pt>
                <c:pt idx="399">
                  <c:v>73.664043108528105</c:v>
                </c:pt>
                <c:pt idx="400">
                  <c:v>73.664203113528302</c:v>
                </c:pt>
                <c:pt idx="401">
                  <c:v>73.963796968925962</c:v>
                </c:pt>
                <c:pt idx="402">
                  <c:v>73.963956973926159</c:v>
                </c:pt>
                <c:pt idx="403">
                  <c:v>73.964276983926581</c:v>
                </c:pt>
                <c:pt idx="404">
                  <c:v>73.964436988926778</c:v>
                </c:pt>
                <c:pt idx="405">
                  <c:v>74.552152212543504</c:v>
                </c:pt>
                <c:pt idx="406">
                  <c:v>74.552312217543715</c:v>
                </c:pt>
                <c:pt idx="407">
                  <c:v>74.552632227544123</c:v>
                </c:pt>
                <c:pt idx="408">
                  <c:v>74.552792232544334</c:v>
                </c:pt>
                <c:pt idx="409">
                  <c:v>75.413730033288076</c:v>
                </c:pt>
                <c:pt idx="410">
                  <c:v>75.413890038288287</c:v>
                </c:pt>
                <c:pt idx="411">
                  <c:v>75.414210048288695</c:v>
                </c:pt>
                <c:pt idx="412">
                  <c:v>75.414370053288906</c:v>
                </c:pt>
                <c:pt idx="413">
                  <c:v>76.275307854032647</c:v>
                </c:pt>
                <c:pt idx="414">
                  <c:v>76.275467859032858</c:v>
                </c:pt>
                <c:pt idx="415">
                  <c:v>76.275787869033266</c:v>
                </c:pt>
                <c:pt idx="416">
                  <c:v>76.275947874033477</c:v>
                </c:pt>
                <c:pt idx="417">
                  <c:v>76.863663097650203</c:v>
                </c:pt>
                <c:pt idx="418">
                  <c:v>76.863823102650414</c:v>
                </c:pt>
                <c:pt idx="419">
                  <c:v>76.864143112650822</c:v>
                </c:pt>
                <c:pt idx="420">
                  <c:v>76.864303117651033</c:v>
                </c:pt>
                <c:pt idx="421">
                  <c:v>77.163896973048665</c:v>
                </c:pt>
                <c:pt idx="422">
                  <c:v>77.164056978048862</c:v>
                </c:pt>
                <c:pt idx="423">
                  <c:v>77.164376988049284</c:v>
                </c:pt>
                <c:pt idx="424">
                  <c:v>77.164536993049481</c:v>
                </c:pt>
                <c:pt idx="425">
                  <c:v>77.752252216666207</c:v>
                </c:pt>
                <c:pt idx="426">
                  <c:v>77.752412221666418</c:v>
                </c:pt>
                <c:pt idx="427">
                  <c:v>77.752732231666826</c:v>
                </c:pt>
                <c:pt idx="428">
                  <c:v>77.752892236667037</c:v>
                </c:pt>
                <c:pt idx="429">
                  <c:v>78.613830037410779</c:v>
                </c:pt>
                <c:pt idx="430">
                  <c:v>78.61399004241099</c:v>
                </c:pt>
                <c:pt idx="431">
                  <c:v>78.614310052411398</c:v>
                </c:pt>
                <c:pt idx="432">
                  <c:v>78.614470057411609</c:v>
                </c:pt>
                <c:pt idx="433">
                  <c:v>79.47540785815535</c:v>
                </c:pt>
                <c:pt idx="434">
                  <c:v>79.475567863155561</c:v>
                </c:pt>
                <c:pt idx="435">
                  <c:v>79.475887873155969</c:v>
                </c:pt>
                <c:pt idx="436">
                  <c:v>79.47604787815618</c:v>
                </c:pt>
                <c:pt idx="437">
                  <c:v>80.063763101772906</c:v>
                </c:pt>
                <c:pt idx="438">
                  <c:v>80.063923106773117</c:v>
                </c:pt>
                <c:pt idx="439">
                  <c:v>80.064243116773525</c:v>
                </c:pt>
                <c:pt idx="440">
                  <c:v>80.064403121773736</c:v>
                </c:pt>
                <c:pt idx="441">
                  <c:v>80.363996977171382</c:v>
                </c:pt>
                <c:pt idx="442">
                  <c:v>80.364156982171593</c:v>
                </c:pt>
                <c:pt idx="443">
                  <c:v>80.364476992172001</c:v>
                </c:pt>
                <c:pt idx="444">
                  <c:v>80.364636997172212</c:v>
                </c:pt>
                <c:pt idx="445">
                  <c:v>80.952352220788939</c:v>
                </c:pt>
                <c:pt idx="446">
                  <c:v>80.952512225789135</c:v>
                </c:pt>
                <c:pt idx="447">
                  <c:v>80.952832235789558</c:v>
                </c:pt>
                <c:pt idx="448">
                  <c:v>80.952992240789754</c:v>
                </c:pt>
                <c:pt idx="449">
                  <c:v>81.81393004153351</c:v>
                </c:pt>
                <c:pt idx="450">
                  <c:v>81.814090046533707</c:v>
                </c:pt>
                <c:pt idx="451">
                  <c:v>81.814410056534129</c:v>
                </c:pt>
                <c:pt idx="452">
                  <c:v>81.814570061534326</c:v>
                </c:pt>
                <c:pt idx="453">
                  <c:v>82.675507862278081</c:v>
                </c:pt>
                <c:pt idx="454">
                  <c:v>82.675667867278278</c:v>
                </c:pt>
                <c:pt idx="455">
                  <c:v>82.6759878772787</c:v>
                </c:pt>
                <c:pt idx="456">
                  <c:v>82.676147882278897</c:v>
                </c:pt>
                <c:pt idx="457">
                  <c:v>83.263863105895624</c:v>
                </c:pt>
                <c:pt idx="458">
                  <c:v>83.264023110895835</c:v>
                </c:pt>
                <c:pt idx="459">
                  <c:v>83.264343120896243</c:v>
                </c:pt>
                <c:pt idx="460">
                  <c:v>83.264503125896454</c:v>
                </c:pt>
                <c:pt idx="461">
                  <c:v>83.564096981294085</c:v>
                </c:pt>
                <c:pt idx="462">
                  <c:v>83.564256986294296</c:v>
                </c:pt>
                <c:pt idx="463">
                  <c:v>83.564576996294704</c:v>
                </c:pt>
                <c:pt idx="464">
                  <c:v>83.564737001294915</c:v>
                </c:pt>
                <c:pt idx="465">
                  <c:v>84.152452224911642</c:v>
                </c:pt>
                <c:pt idx="466">
                  <c:v>84.152612229911838</c:v>
                </c:pt>
                <c:pt idx="467">
                  <c:v>84.152932239912261</c:v>
                </c:pt>
                <c:pt idx="468">
                  <c:v>84.153092244912457</c:v>
                </c:pt>
                <c:pt idx="469">
                  <c:v>85.014030045656213</c:v>
                </c:pt>
                <c:pt idx="470">
                  <c:v>85.01419005065641</c:v>
                </c:pt>
                <c:pt idx="471">
                  <c:v>85.014510060656832</c:v>
                </c:pt>
                <c:pt idx="472">
                  <c:v>85.014670065657029</c:v>
                </c:pt>
                <c:pt idx="473">
                  <c:v>85.875607866400784</c:v>
                </c:pt>
                <c:pt idx="474">
                  <c:v>85.875767871400981</c:v>
                </c:pt>
                <c:pt idx="475">
                  <c:v>85.876087881401403</c:v>
                </c:pt>
                <c:pt idx="476">
                  <c:v>85.8762478864016</c:v>
                </c:pt>
                <c:pt idx="477">
                  <c:v>86.463963110018327</c:v>
                </c:pt>
                <c:pt idx="478">
                  <c:v>86.464123115018538</c:v>
                </c:pt>
                <c:pt idx="479">
                  <c:v>86.464443125018946</c:v>
                </c:pt>
                <c:pt idx="480">
                  <c:v>86.464603130019157</c:v>
                </c:pt>
                <c:pt idx="481">
                  <c:v>86.764196985416802</c:v>
                </c:pt>
                <c:pt idx="482">
                  <c:v>86.764356990417014</c:v>
                </c:pt>
                <c:pt idx="483">
                  <c:v>86.764677000417421</c:v>
                </c:pt>
                <c:pt idx="484">
                  <c:v>86.764837005417633</c:v>
                </c:pt>
                <c:pt idx="485">
                  <c:v>87.352552229034359</c:v>
                </c:pt>
                <c:pt idx="486">
                  <c:v>87.35271223403457</c:v>
                </c:pt>
                <c:pt idx="487">
                  <c:v>87.353032244034978</c:v>
                </c:pt>
                <c:pt idx="488">
                  <c:v>87.353192249035189</c:v>
                </c:pt>
                <c:pt idx="489">
                  <c:v>88.21413004977893</c:v>
                </c:pt>
                <c:pt idx="490">
                  <c:v>88.214290054779141</c:v>
                </c:pt>
                <c:pt idx="491">
                  <c:v>88.214610064779549</c:v>
                </c:pt>
                <c:pt idx="492">
                  <c:v>88.21477006977976</c:v>
                </c:pt>
                <c:pt idx="493">
                  <c:v>89.075707870523502</c:v>
                </c:pt>
                <c:pt idx="494">
                  <c:v>89.075867875523713</c:v>
                </c:pt>
                <c:pt idx="495">
                  <c:v>89.076187885524121</c:v>
                </c:pt>
                <c:pt idx="496">
                  <c:v>89.076347890524332</c:v>
                </c:pt>
                <c:pt idx="497">
                  <c:v>89.664063114141058</c:v>
                </c:pt>
                <c:pt idx="498">
                  <c:v>89.664223119141255</c:v>
                </c:pt>
                <c:pt idx="499">
                  <c:v>89.664543129141677</c:v>
                </c:pt>
                <c:pt idx="500">
                  <c:v>89.664703134141874</c:v>
                </c:pt>
                <c:pt idx="501">
                  <c:v>89.964296989539534</c:v>
                </c:pt>
                <c:pt idx="502">
                  <c:v>89.964456994539731</c:v>
                </c:pt>
                <c:pt idx="503">
                  <c:v>89.964777004540153</c:v>
                </c:pt>
                <c:pt idx="504">
                  <c:v>89.96493700954035</c:v>
                </c:pt>
                <c:pt idx="505">
                  <c:v>90.552652233157076</c:v>
                </c:pt>
                <c:pt idx="506">
                  <c:v>90.552812238157287</c:v>
                </c:pt>
                <c:pt idx="507">
                  <c:v>90.553132248157695</c:v>
                </c:pt>
                <c:pt idx="508">
                  <c:v>90.553292253157906</c:v>
                </c:pt>
                <c:pt idx="509">
                  <c:v>91.414230053901647</c:v>
                </c:pt>
                <c:pt idx="510">
                  <c:v>91.414390058901859</c:v>
                </c:pt>
                <c:pt idx="511">
                  <c:v>91.414710068902266</c:v>
                </c:pt>
                <c:pt idx="512">
                  <c:v>91.414870073902478</c:v>
                </c:pt>
                <c:pt idx="513">
                  <c:v>92.275807874646219</c:v>
                </c:pt>
                <c:pt idx="514">
                  <c:v>92.27596787964643</c:v>
                </c:pt>
                <c:pt idx="515">
                  <c:v>92.276287889646838</c:v>
                </c:pt>
                <c:pt idx="516">
                  <c:v>92.276447894647049</c:v>
                </c:pt>
                <c:pt idx="517">
                  <c:v>92.864163118263775</c:v>
                </c:pt>
                <c:pt idx="518">
                  <c:v>92.864323123263986</c:v>
                </c:pt>
                <c:pt idx="519">
                  <c:v>92.864643133264394</c:v>
                </c:pt>
                <c:pt idx="520">
                  <c:v>92.864803138264605</c:v>
                </c:pt>
                <c:pt idx="521">
                  <c:v>93.164396993662251</c:v>
                </c:pt>
                <c:pt idx="522">
                  <c:v>93.164556998662462</c:v>
                </c:pt>
                <c:pt idx="523">
                  <c:v>93.16487700866287</c:v>
                </c:pt>
                <c:pt idx="524">
                  <c:v>93.165037013663081</c:v>
                </c:pt>
                <c:pt idx="525">
                  <c:v>93.752752237279807</c:v>
                </c:pt>
                <c:pt idx="526">
                  <c:v>93.752912242280004</c:v>
                </c:pt>
                <c:pt idx="527">
                  <c:v>93.753232252280426</c:v>
                </c:pt>
                <c:pt idx="528">
                  <c:v>93.753392257280623</c:v>
                </c:pt>
                <c:pt idx="529">
                  <c:v>94.614330058024379</c:v>
                </c:pt>
                <c:pt idx="530">
                  <c:v>94.614490063024576</c:v>
                </c:pt>
                <c:pt idx="531">
                  <c:v>94.614810073024998</c:v>
                </c:pt>
                <c:pt idx="532">
                  <c:v>94.614970078025195</c:v>
                </c:pt>
                <c:pt idx="533">
                  <c:v>95.47590787876895</c:v>
                </c:pt>
                <c:pt idx="534">
                  <c:v>95.476067883769147</c:v>
                </c:pt>
                <c:pt idx="535">
                  <c:v>95.476387893769569</c:v>
                </c:pt>
                <c:pt idx="536">
                  <c:v>95.476547898769766</c:v>
                </c:pt>
                <c:pt idx="537">
                  <c:v>96.064263122386492</c:v>
                </c:pt>
                <c:pt idx="538">
                  <c:v>96.064423127386704</c:v>
                </c:pt>
                <c:pt idx="539">
                  <c:v>96.064743137387111</c:v>
                </c:pt>
                <c:pt idx="540">
                  <c:v>96.064903142387323</c:v>
                </c:pt>
                <c:pt idx="541">
                  <c:v>96.364496997784968</c:v>
                </c:pt>
                <c:pt idx="542">
                  <c:v>96.364657002785179</c:v>
                </c:pt>
                <c:pt idx="543">
                  <c:v>96.364977012785587</c:v>
                </c:pt>
                <c:pt idx="544">
                  <c:v>96.365137017785798</c:v>
                </c:pt>
                <c:pt idx="545">
                  <c:v>96.952852241402525</c:v>
                </c:pt>
                <c:pt idx="546">
                  <c:v>96.953012246402736</c:v>
                </c:pt>
                <c:pt idx="547">
                  <c:v>96.953332256403144</c:v>
                </c:pt>
                <c:pt idx="548">
                  <c:v>96.953492261403355</c:v>
                </c:pt>
                <c:pt idx="549">
                  <c:v>97.814430062147096</c:v>
                </c:pt>
                <c:pt idx="550">
                  <c:v>97.814590067147307</c:v>
                </c:pt>
                <c:pt idx="551">
                  <c:v>97.814910077147715</c:v>
                </c:pt>
                <c:pt idx="552">
                  <c:v>97.815070082147926</c:v>
                </c:pt>
                <c:pt idx="553">
                  <c:v>98.676007882891668</c:v>
                </c:pt>
                <c:pt idx="554">
                  <c:v>98.676167887891879</c:v>
                </c:pt>
                <c:pt idx="555">
                  <c:v>98.676487897892287</c:v>
                </c:pt>
                <c:pt idx="556">
                  <c:v>98.676647902892498</c:v>
                </c:pt>
                <c:pt idx="557">
                  <c:v>99.264363126509224</c:v>
                </c:pt>
                <c:pt idx="558">
                  <c:v>99.264523131509421</c:v>
                </c:pt>
                <c:pt idx="559">
                  <c:v>99.264843141509843</c:v>
                </c:pt>
                <c:pt idx="560">
                  <c:v>99.26500314651004</c:v>
                </c:pt>
                <c:pt idx="561">
                  <c:v>99.5645970019077</c:v>
                </c:pt>
                <c:pt idx="562">
                  <c:v>99.564757006907897</c:v>
                </c:pt>
                <c:pt idx="563">
                  <c:v>99.565077016908319</c:v>
                </c:pt>
                <c:pt idx="564">
                  <c:v>99.565237021908516</c:v>
                </c:pt>
                <c:pt idx="565">
                  <c:v>100.15295224552524</c:v>
                </c:pt>
                <c:pt idx="566">
                  <c:v>100.15311225052545</c:v>
                </c:pt>
                <c:pt idx="567">
                  <c:v>100.15343226052586</c:v>
                </c:pt>
                <c:pt idx="568">
                  <c:v>100.15359226552607</c:v>
                </c:pt>
                <c:pt idx="569">
                  <c:v>101.01453006626981</c:v>
                </c:pt>
                <c:pt idx="570">
                  <c:v>101.01469007127002</c:v>
                </c:pt>
                <c:pt idx="571">
                  <c:v>101.01501008127043</c:v>
                </c:pt>
                <c:pt idx="572">
                  <c:v>101.01517008627064</c:v>
                </c:pt>
                <c:pt idx="573">
                  <c:v>101.87610788701438</c:v>
                </c:pt>
                <c:pt idx="574">
                  <c:v>101.8762678920146</c:v>
                </c:pt>
                <c:pt idx="575">
                  <c:v>101.876587902015</c:v>
                </c:pt>
                <c:pt idx="576">
                  <c:v>101.87674790701521</c:v>
                </c:pt>
                <c:pt idx="577">
                  <c:v>102.46446313063194</c:v>
                </c:pt>
                <c:pt idx="578">
                  <c:v>102.46462313563215</c:v>
                </c:pt>
                <c:pt idx="579">
                  <c:v>102.46494314563256</c:v>
                </c:pt>
                <c:pt idx="580">
                  <c:v>102.46510315063277</c:v>
                </c:pt>
                <c:pt idx="581">
                  <c:v>102.76469700603042</c:v>
                </c:pt>
                <c:pt idx="582">
                  <c:v>102.76485701103063</c:v>
                </c:pt>
                <c:pt idx="583">
                  <c:v>102.76517702103104</c:v>
                </c:pt>
                <c:pt idx="584">
                  <c:v>102.76533702603125</c:v>
                </c:pt>
                <c:pt idx="585">
                  <c:v>103.35305224964797</c:v>
                </c:pt>
                <c:pt idx="586">
                  <c:v>103.35321225464817</c:v>
                </c:pt>
                <c:pt idx="587">
                  <c:v>103.35353226464859</c:v>
                </c:pt>
                <c:pt idx="588">
                  <c:v>103.35369226964879</c:v>
                </c:pt>
                <c:pt idx="589">
                  <c:v>104.21463007039254</c:v>
                </c:pt>
                <c:pt idx="590">
                  <c:v>104.21479007539274</c:v>
                </c:pt>
                <c:pt idx="591">
                  <c:v>104.21511008539316</c:v>
                </c:pt>
                <c:pt idx="592">
                  <c:v>104.21527009039336</c:v>
                </c:pt>
                <c:pt idx="593">
                  <c:v>105.07620789113712</c:v>
                </c:pt>
                <c:pt idx="594">
                  <c:v>105.07636789613731</c:v>
                </c:pt>
                <c:pt idx="595">
                  <c:v>105.07668790613774</c:v>
                </c:pt>
                <c:pt idx="596">
                  <c:v>105.07684791113793</c:v>
                </c:pt>
                <c:pt idx="597">
                  <c:v>105.66456313475466</c:v>
                </c:pt>
                <c:pt idx="598">
                  <c:v>105.66472313975487</c:v>
                </c:pt>
                <c:pt idx="599">
                  <c:v>105.66504314975528</c:v>
                </c:pt>
                <c:pt idx="600">
                  <c:v>105.66520315475549</c:v>
                </c:pt>
                <c:pt idx="601">
                  <c:v>105.9780863904432</c:v>
                </c:pt>
                <c:pt idx="602">
                  <c:v>105.97826059044279</c:v>
                </c:pt>
                <c:pt idx="603">
                  <c:v>105.97860899044196</c:v>
                </c:pt>
                <c:pt idx="604">
                  <c:v>105.97878319044155</c:v>
                </c:pt>
                <c:pt idx="605">
                  <c:v>106.61863814234829</c:v>
                </c:pt>
                <c:pt idx="606">
                  <c:v>106.61881234234788</c:v>
                </c:pt>
                <c:pt idx="607">
                  <c:v>106.61916074234705</c:v>
                </c:pt>
                <c:pt idx="608">
                  <c:v>106.61933494234664</c:v>
                </c:pt>
                <c:pt idx="609">
                  <c:v>107.55665167833244</c:v>
                </c:pt>
                <c:pt idx="610">
                  <c:v>107.55682587833202</c:v>
                </c:pt>
                <c:pt idx="611">
                  <c:v>107.5571742783312</c:v>
                </c:pt>
                <c:pt idx="612">
                  <c:v>107.55734847833078</c:v>
                </c:pt>
                <c:pt idx="613">
                  <c:v>108.49466521431658</c:v>
                </c:pt>
                <c:pt idx="614">
                  <c:v>108.49483941431617</c:v>
                </c:pt>
                <c:pt idx="615">
                  <c:v>108.49518781431534</c:v>
                </c:pt>
                <c:pt idx="616">
                  <c:v>108.49536201431494</c:v>
                </c:pt>
                <c:pt idx="617">
                  <c:v>109.13521696622168</c:v>
                </c:pt>
                <c:pt idx="618">
                  <c:v>109.13539116622127</c:v>
                </c:pt>
                <c:pt idx="619">
                  <c:v>109.13573956622044</c:v>
                </c:pt>
                <c:pt idx="620">
                  <c:v>109.13591376622003</c:v>
                </c:pt>
                <c:pt idx="621">
                  <c:v>109.46208638219775</c:v>
                </c:pt>
                <c:pt idx="622">
                  <c:v>109.46226058219735</c:v>
                </c:pt>
                <c:pt idx="623">
                  <c:v>109.46260898219651</c:v>
                </c:pt>
                <c:pt idx="624">
                  <c:v>109.46278318219611</c:v>
                </c:pt>
                <c:pt idx="625">
                  <c:v>110.10263813410285</c:v>
                </c:pt>
                <c:pt idx="626">
                  <c:v>110.10281233410244</c:v>
                </c:pt>
                <c:pt idx="627">
                  <c:v>110.10316073410161</c:v>
                </c:pt>
                <c:pt idx="628">
                  <c:v>110.1033349341012</c:v>
                </c:pt>
                <c:pt idx="629">
                  <c:v>111.040651670087</c:v>
                </c:pt>
                <c:pt idx="630">
                  <c:v>111.04082587008658</c:v>
                </c:pt>
                <c:pt idx="631">
                  <c:v>111.04117427008576</c:v>
                </c:pt>
                <c:pt idx="632">
                  <c:v>111.04134847008534</c:v>
                </c:pt>
                <c:pt idx="633">
                  <c:v>111.97866520607114</c:v>
                </c:pt>
                <c:pt idx="634">
                  <c:v>111.97883940607073</c:v>
                </c:pt>
                <c:pt idx="635">
                  <c:v>111.9791878060699</c:v>
                </c:pt>
                <c:pt idx="636">
                  <c:v>111.97936200606949</c:v>
                </c:pt>
                <c:pt idx="637">
                  <c:v>112.61921695797623</c:v>
                </c:pt>
                <c:pt idx="638">
                  <c:v>112.61939115797583</c:v>
                </c:pt>
                <c:pt idx="639">
                  <c:v>112.619739557975</c:v>
                </c:pt>
                <c:pt idx="640">
                  <c:v>112.61991375797459</c:v>
                </c:pt>
                <c:pt idx="641">
                  <c:v>112.94608637395235</c:v>
                </c:pt>
                <c:pt idx="642">
                  <c:v>112.94626057395193</c:v>
                </c:pt>
                <c:pt idx="643">
                  <c:v>112.94660897395111</c:v>
                </c:pt>
                <c:pt idx="644">
                  <c:v>112.94678317395069</c:v>
                </c:pt>
                <c:pt idx="645">
                  <c:v>113.58663812585745</c:v>
                </c:pt>
                <c:pt idx="646">
                  <c:v>113.58681232585703</c:v>
                </c:pt>
                <c:pt idx="647">
                  <c:v>113.58716072585621</c:v>
                </c:pt>
                <c:pt idx="648">
                  <c:v>113.58733492585579</c:v>
                </c:pt>
                <c:pt idx="649">
                  <c:v>114.52465166184159</c:v>
                </c:pt>
                <c:pt idx="650">
                  <c:v>114.52482586184118</c:v>
                </c:pt>
                <c:pt idx="651">
                  <c:v>114.52517426184035</c:v>
                </c:pt>
                <c:pt idx="652">
                  <c:v>114.52534846183994</c:v>
                </c:pt>
                <c:pt idx="653">
                  <c:v>115.46266519782574</c:v>
                </c:pt>
                <c:pt idx="654">
                  <c:v>115.46283939782533</c:v>
                </c:pt>
                <c:pt idx="655">
                  <c:v>115.4631877978245</c:v>
                </c:pt>
                <c:pt idx="656">
                  <c:v>115.46336199782409</c:v>
                </c:pt>
                <c:pt idx="657">
                  <c:v>116.10321694973084</c:v>
                </c:pt>
                <c:pt idx="658">
                  <c:v>116.10339114973043</c:v>
                </c:pt>
                <c:pt idx="659">
                  <c:v>116.1037395497296</c:v>
                </c:pt>
                <c:pt idx="660">
                  <c:v>116.10391374972919</c:v>
                </c:pt>
                <c:pt idx="661">
                  <c:v>116.43008636570691</c:v>
                </c:pt>
                <c:pt idx="662">
                  <c:v>116.43026056570649</c:v>
                </c:pt>
                <c:pt idx="663">
                  <c:v>116.43060896570567</c:v>
                </c:pt>
                <c:pt idx="664">
                  <c:v>116.43078316570525</c:v>
                </c:pt>
                <c:pt idx="665">
                  <c:v>117.07063811761201</c:v>
                </c:pt>
                <c:pt idx="666">
                  <c:v>117.07081231761158</c:v>
                </c:pt>
                <c:pt idx="667">
                  <c:v>117.07116071761077</c:v>
                </c:pt>
                <c:pt idx="668">
                  <c:v>117.07133491761034</c:v>
                </c:pt>
                <c:pt idx="669">
                  <c:v>118.00865165359615</c:v>
                </c:pt>
                <c:pt idx="670">
                  <c:v>118.00882585359574</c:v>
                </c:pt>
                <c:pt idx="671">
                  <c:v>118.00917425359491</c:v>
                </c:pt>
                <c:pt idx="672">
                  <c:v>118.0093484535945</c:v>
                </c:pt>
                <c:pt idx="673">
                  <c:v>118.9466651895803</c:v>
                </c:pt>
                <c:pt idx="674">
                  <c:v>118.94683938957989</c:v>
                </c:pt>
                <c:pt idx="675">
                  <c:v>118.94718778957906</c:v>
                </c:pt>
                <c:pt idx="676">
                  <c:v>118.94736198957865</c:v>
                </c:pt>
                <c:pt idx="677">
                  <c:v>119.58721694148539</c:v>
                </c:pt>
                <c:pt idx="678">
                  <c:v>119.58739114148499</c:v>
                </c:pt>
                <c:pt idx="679">
                  <c:v>119.58773954148415</c:v>
                </c:pt>
                <c:pt idx="680">
                  <c:v>119.58791374148375</c:v>
                </c:pt>
                <c:pt idx="681">
                  <c:v>119.9140863574615</c:v>
                </c:pt>
                <c:pt idx="682">
                  <c:v>119.91426055746109</c:v>
                </c:pt>
                <c:pt idx="683">
                  <c:v>119.91460895746026</c:v>
                </c:pt>
                <c:pt idx="684">
                  <c:v>119.91478315745985</c:v>
                </c:pt>
                <c:pt idx="685">
                  <c:v>120.55463810936659</c:v>
                </c:pt>
                <c:pt idx="686">
                  <c:v>120.55481230936618</c:v>
                </c:pt>
                <c:pt idx="687">
                  <c:v>120.55516070936535</c:v>
                </c:pt>
                <c:pt idx="688">
                  <c:v>120.55533490936494</c:v>
                </c:pt>
                <c:pt idx="689">
                  <c:v>121.49265164535075</c:v>
                </c:pt>
                <c:pt idx="690">
                  <c:v>121.49282584535034</c:v>
                </c:pt>
                <c:pt idx="691">
                  <c:v>121.49317424534951</c:v>
                </c:pt>
                <c:pt idx="692">
                  <c:v>121.4933484453491</c:v>
                </c:pt>
                <c:pt idx="693">
                  <c:v>122.4306651813349</c:v>
                </c:pt>
                <c:pt idx="694">
                  <c:v>122.43083938133448</c:v>
                </c:pt>
                <c:pt idx="695">
                  <c:v>122.43118778133366</c:v>
                </c:pt>
                <c:pt idx="696">
                  <c:v>122.43136198133324</c:v>
                </c:pt>
                <c:pt idx="697">
                  <c:v>123.07121693324</c:v>
                </c:pt>
                <c:pt idx="698">
                  <c:v>123.07139113323957</c:v>
                </c:pt>
                <c:pt idx="699">
                  <c:v>123.07173953323876</c:v>
                </c:pt>
                <c:pt idx="700">
                  <c:v>123.07191373323833</c:v>
                </c:pt>
                <c:pt idx="701">
                  <c:v>123.39808634921606</c:v>
                </c:pt>
                <c:pt idx="702">
                  <c:v>123.39826054921565</c:v>
                </c:pt>
                <c:pt idx="703">
                  <c:v>123.39860894921482</c:v>
                </c:pt>
                <c:pt idx="704">
                  <c:v>123.39878314921441</c:v>
                </c:pt>
                <c:pt idx="705">
                  <c:v>124.03863810112115</c:v>
                </c:pt>
                <c:pt idx="706">
                  <c:v>124.03881230112074</c:v>
                </c:pt>
                <c:pt idx="707">
                  <c:v>124.03916070111991</c:v>
                </c:pt>
                <c:pt idx="708">
                  <c:v>124.0393349011195</c:v>
                </c:pt>
                <c:pt idx="709">
                  <c:v>124.97665163710531</c:v>
                </c:pt>
                <c:pt idx="710">
                  <c:v>124.9768258371049</c:v>
                </c:pt>
                <c:pt idx="711">
                  <c:v>124.97717423710407</c:v>
                </c:pt>
                <c:pt idx="712">
                  <c:v>124.97734843710366</c:v>
                </c:pt>
                <c:pt idx="713">
                  <c:v>125.91466517308946</c:v>
                </c:pt>
                <c:pt idx="714">
                  <c:v>125.91483937308904</c:v>
                </c:pt>
                <c:pt idx="715">
                  <c:v>125.91518777308822</c:v>
                </c:pt>
                <c:pt idx="716">
                  <c:v>125.9153619730878</c:v>
                </c:pt>
                <c:pt idx="717">
                  <c:v>126.55521692499455</c:v>
                </c:pt>
                <c:pt idx="718">
                  <c:v>126.55539112499413</c:v>
                </c:pt>
                <c:pt idx="719">
                  <c:v>126.55573952499331</c:v>
                </c:pt>
                <c:pt idx="720">
                  <c:v>126.55591372499289</c:v>
                </c:pt>
                <c:pt idx="721">
                  <c:v>126.88208634097066</c:v>
                </c:pt>
                <c:pt idx="722">
                  <c:v>126.88226054097025</c:v>
                </c:pt>
                <c:pt idx="723">
                  <c:v>126.88260894096942</c:v>
                </c:pt>
                <c:pt idx="724">
                  <c:v>126.88278314096901</c:v>
                </c:pt>
                <c:pt idx="725">
                  <c:v>127.52263809287575</c:v>
                </c:pt>
                <c:pt idx="726">
                  <c:v>127.52281229287534</c:v>
                </c:pt>
                <c:pt idx="727">
                  <c:v>127.52316069287451</c:v>
                </c:pt>
                <c:pt idx="728">
                  <c:v>127.5233348928741</c:v>
                </c:pt>
                <c:pt idx="729">
                  <c:v>128.46065162885989</c:v>
                </c:pt>
                <c:pt idx="730">
                  <c:v>128.4608258288595</c:v>
                </c:pt>
                <c:pt idx="731">
                  <c:v>128.46117422885865</c:v>
                </c:pt>
                <c:pt idx="732">
                  <c:v>128.46134842885826</c:v>
                </c:pt>
                <c:pt idx="733">
                  <c:v>129.39866516484406</c:v>
                </c:pt>
                <c:pt idx="734">
                  <c:v>129.39883936484364</c:v>
                </c:pt>
                <c:pt idx="735">
                  <c:v>129.39918776484282</c:v>
                </c:pt>
                <c:pt idx="736">
                  <c:v>129.3993619648424</c:v>
                </c:pt>
                <c:pt idx="737">
                  <c:v>130.03921691674915</c:v>
                </c:pt>
                <c:pt idx="738">
                  <c:v>130.03939111674873</c:v>
                </c:pt>
                <c:pt idx="739">
                  <c:v>130.03973951674791</c:v>
                </c:pt>
                <c:pt idx="740">
                  <c:v>130.03991371674749</c:v>
                </c:pt>
                <c:pt idx="741">
                  <c:v>130.36608633272522</c:v>
                </c:pt>
                <c:pt idx="742">
                  <c:v>130.36626053272479</c:v>
                </c:pt>
                <c:pt idx="743">
                  <c:v>130.36660893272398</c:v>
                </c:pt>
                <c:pt idx="744">
                  <c:v>130.36678313272355</c:v>
                </c:pt>
                <c:pt idx="745">
                  <c:v>131.00663808463031</c:v>
                </c:pt>
                <c:pt idx="746">
                  <c:v>131.00681228462989</c:v>
                </c:pt>
                <c:pt idx="747">
                  <c:v>131.00716068462907</c:v>
                </c:pt>
                <c:pt idx="748">
                  <c:v>131.00733488462865</c:v>
                </c:pt>
                <c:pt idx="749">
                  <c:v>131.94465162061445</c:v>
                </c:pt>
                <c:pt idx="750">
                  <c:v>131.94482582061406</c:v>
                </c:pt>
                <c:pt idx="751">
                  <c:v>131.94517422061321</c:v>
                </c:pt>
                <c:pt idx="752">
                  <c:v>131.94534842061282</c:v>
                </c:pt>
                <c:pt idx="753">
                  <c:v>132.88266515659862</c:v>
                </c:pt>
                <c:pt idx="754">
                  <c:v>132.8828393565982</c:v>
                </c:pt>
                <c:pt idx="755">
                  <c:v>132.88318775659738</c:v>
                </c:pt>
                <c:pt idx="756">
                  <c:v>132.88336195659696</c:v>
                </c:pt>
                <c:pt idx="757">
                  <c:v>133.52321690850371</c:v>
                </c:pt>
                <c:pt idx="758">
                  <c:v>133.52339110850329</c:v>
                </c:pt>
                <c:pt idx="759">
                  <c:v>133.52373950850247</c:v>
                </c:pt>
                <c:pt idx="760">
                  <c:v>133.52391370850205</c:v>
                </c:pt>
                <c:pt idx="761">
                  <c:v>133.8500863244798</c:v>
                </c:pt>
                <c:pt idx="762">
                  <c:v>133.85026052447941</c:v>
                </c:pt>
                <c:pt idx="763">
                  <c:v>133.85060892447856</c:v>
                </c:pt>
                <c:pt idx="764">
                  <c:v>133.85078312447817</c:v>
                </c:pt>
                <c:pt idx="765">
                  <c:v>134.4906380763849</c:v>
                </c:pt>
                <c:pt idx="766">
                  <c:v>134.4908122763845</c:v>
                </c:pt>
                <c:pt idx="767">
                  <c:v>134.49116067638366</c:v>
                </c:pt>
                <c:pt idx="768">
                  <c:v>134.49133487638326</c:v>
                </c:pt>
                <c:pt idx="769">
                  <c:v>135.42865161236907</c:v>
                </c:pt>
                <c:pt idx="770">
                  <c:v>135.42882581236864</c:v>
                </c:pt>
                <c:pt idx="771">
                  <c:v>135.42917421236783</c:v>
                </c:pt>
                <c:pt idx="772">
                  <c:v>135.4293484123674</c:v>
                </c:pt>
                <c:pt idx="773">
                  <c:v>136.36666514835321</c:v>
                </c:pt>
                <c:pt idx="774">
                  <c:v>136.36683934835278</c:v>
                </c:pt>
                <c:pt idx="775">
                  <c:v>136.36718774835197</c:v>
                </c:pt>
                <c:pt idx="776">
                  <c:v>136.36736194835154</c:v>
                </c:pt>
                <c:pt idx="777">
                  <c:v>137.0072169002583</c:v>
                </c:pt>
                <c:pt idx="778">
                  <c:v>137.00739110025788</c:v>
                </c:pt>
                <c:pt idx="779">
                  <c:v>137.00773950025706</c:v>
                </c:pt>
                <c:pt idx="780">
                  <c:v>137.00791370025664</c:v>
                </c:pt>
                <c:pt idx="781">
                  <c:v>137.33408631623436</c:v>
                </c:pt>
                <c:pt idx="782">
                  <c:v>137.33426051623397</c:v>
                </c:pt>
                <c:pt idx="783">
                  <c:v>137.33460891623312</c:v>
                </c:pt>
                <c:pt idx="784">
                  <c:v>137.33478311623273</c:v>
                </c:pt>
                <c:pt idx="785">
                  <c:v>137.97463806813946</c:v>
                </c:pt>
                <c:pt idx="786">
                  <c:v>137.97481226813906</c:v>
                </c:pt>
                <c:pt idx="787">
                  <c:v>137.97516066813822</c:v>
                </c:pt>
                <c:pt idx="788">
                  <c:v>137.97533486813782</c:v>
                </c:pt>
                <c:pt idx="789">
                  <c:v>138.91265160412362</c:v>
                </c:pt>
                <c:pt idx="790">
                  <c:v>138.9128258041232</c:v>
                </c:pt>
                <c:pt idx="791">
                  <c:v>138.91317420412238</c:v>
                </c:pt>
                <c:pt idx="792">
                  <c:v>138.91334840412196</c:v>
                </c:pt>
                <c:pt idx="793">
                  <c:v>139.85066514010776</c:v>
                </c:pt>
                <c:pt idx="794">
                  <c:v>139.85083934010734</c:v>
                </c:pt>
                <c:pt idx="795">
                  <c:v>139.85118774010652</c:v>
                </c:pt>
                <c:pt idx="796">
                  <c:v>139.8513619401061</c:v>
                </c:pt>
                <c:pt idx="797">
                  <c:v>140.49121689201286</c:v>
                </c:pt>
                <c:pt idx="798">
                  <c:v>140.49139109201244</c:v>
                </c:pt>
                <c:pt idx="799">
                  <c:v>140.49173949201162</c:v>
                </c:pt>
                <c:pt idx="800">
                  <c:v>140.655</c:v>
                </c:pt>
                <c:pt idx="801">
                  <c:v>0</c:v>
                </c:pt>
                <c:pt idx="802">
                  <c:v>0</c:v>
                </c:pt>
                <c:pt idx="803">
                  <c:v>0</c:v>
                </c:pt>
                <c:pt idx="804">
                  <c:v>0</c:v>
                </c:pt>
                <c:pt idx="805">
                  <c:v>0</c:v>
                </c:pt>
              </c:numCache>
            </c:numRef>
          </c:xVal>
          <c:yVal>
            <c:numRef>
              <c:f>Graphs!$Q$6:$Q$812</c:f>
              <c:numCache>
                <c:formatCode>General</c:formatCode>
                <c:ptCount val="807"/>
                <c:pt idx="0">
                  <c:v>0</c:v>
                </c:pt>
                <c:pt idx="1">
                  <c:v>2.0662911804509542E-6</c:v>
                </c:pt>
                <c:pt idx="2">
                  <c:v>2.0729197502177988E-6</c:v>
                </c:pt>
                <c:pt idx="3">
                  <c:v>2.0862187674336148E-6</c:v>
                </c:pt>
                <c:pt idx="4">
                  <c:v>2.0928894740486019E-6</c:v>
                </c:pt>
                <c:pt idx="5">
                  <c:v>2.4724099635875486E-4</c:v>
                </c:pt>
                <c:pt idx="6">
                  <c:v>2.4740181080878005E-4</c:v>
                </c:pt>
                <c:pt idx="7">
                  <c:v>2.4772364583393731E-4</c:v>
                </c:pt>
                <c:pt idx="8">
                  <c:v>2.4788466869963459E-4</c:v>
                </c:pt>
                <c:pt idx="9">
                  <c:v>2.516650028434059E-3</c:v>
                </c:pt>
                <c:pt idx="10">
                  <c:v>2.5174052539704882E-3</c:v>
                </c:pt>
                <c:pt idx="11">
                  <c:v>2.5189161492426186E-3</c:v>
                </c:pt>
                <c:pt idx="12">
                  <c:v>2.5196718239059437E-3</c:v>
                </c:pt>
                <c:pt idx="13">
                  <c:v>9.1660143384153271E-3</c:v>
                </c:pt>
                <c:pt idx="14">
                  <c:v>9.1678020457915642E-3</c:v>
                </c:pt>
                <c:pt idx="15">
                  <c:v>9.1713781627826129E-3</c:v>
                </c:pt>
                <c:pt idx="16">
                  <c:v>9.1731665686598969E-3</c:v>
                </c:pt>
                <c:pt idx="17">
                  <c:v>0.13442357821833045</c:v>
                </c:pt>
                <c:pt idx="18">
                  <c:v>0.13442632576199992</c:v>
                </c:pt>
                <c:pt idx="19">
                  <c:v>0.1344318217126873</c:v>
                </c:pt>
                <c:pt idx="20">
                  <c:v>0.13443457012614796</c:v>
                </c:pt>
                <c:pt idx="21">
                  <c:v>0.14010816535267337</c:v>
                </c:pt>
                <c:pt idx="22">
                  <c:v>0.1401114867009513</c:v>
                </c:pt>
                <c:pt idx="23">
                  <c:v>0.14011813036082349</c:v>
                </c:pt>
                <c:pt idx="24">
                  <c:v>0.14012145267351392</c:v>
                </c:pt>
                <c:pt idx="25">
                  <c:v>0.15462618614560064</c:v>
                </c:pt>
                <c:pt idx="26">
                  <c:v>0.15463079829881601</c:v>
                </c:pt>
                <c:pt idx="27">
                  <c:v>0.15464002374864655</c:v>
                </c:pt>
                <c:pt idx="28">
                  <c:v>0.15464463704318554</c:v>
                </c:pt>
                <c:pt idx="29">
                  <c:v>0.18540736899189342</c:v>
                </c:pt>
                <c:pt idx="30">
                  <c:v>0.18541426883217493</c:v>
                </c:pt>
                <c:pt idx="31">
                  <c:v>0.18542806993003064</c:v>
                </c:pt>
                <c:pt idx="32">
                  <c:v>0.18543497117381386</c:v>
                </c:pt>
                <c:pt idx="33">
                  <c:v>0.48350801004042226</c:v>
                </c:pt>
                <c:pt idx="34">
                  <c:v>0.48351767058581446</c:v>
                </c:pt>
                <c:pt idx="35">
                  <c:v>0.48353699334156552</c:v>
                </c:pt>
                <c:pt idx="36">
                  <c:v>0.48354665555203791</c:v>
                </c:pt>
                <c:pt idx="37">
                  <c:v>0.52293741025800489</c:v>
                </c:pt>
                <c:pt idx="38">
                  <c:v>0.52294923556668427</c:v>
                </c:pt>
                <c:pt idx="39">
                  <c:v>0.52297288805917896</c:v>
                </c:pt>
                <c:pt idx="40">
                  <c:v>0.52298471523424783</c:v>
                </c:pt>
                <c:pt idx="41">
                  <c:v>0.54623806093071625</c:v>
                </c:pt>
                <c:pt idx="42">
                  <c:v>0.5462510819471158</c:v>
                </c:pt>
                <c:pt idx="43">
                  <c:v>0.54627712595537858</c:v>
                </c:pt>
                <c:pt idx="44">
                  <c:v>0.54629014893829997</c:v>
                </c:pt>
                <c:pt idx="45">
                  <c:v>0.59868013000778086</c:v>
                </c:pt>
                <c:pt idx="46">
                  <c:v>0.59869567261356127</c:v>
                </c:pt>
                <c:pt idx="47">
                  <c:v>0.59872675996649238</c:v>
                </c:pt>
                <c:pt idx="48">
                  <c:v>0.59874230471665524</c:v>
                </c:pt>
                <c:pt idx="49">
                  <c:v>0.69323226124776316</c:v>
                </c:pt>
                <c:pt idx="50">
                  <c:v>0.69325192270470626</c:v>
                </c:pt>
                <c:pt idx="51">
                  <c:v>0.69329124805033671</c:v>
                </c:pt>
                <c:pt idx="52">
                  <c:v>0.69331091193898675</c:v>
                </c:pt>
                <c:pt idx="53">
                  <c:v>0.81132691425943115</c:v>
                </c:pt>
                <c:pt idx="54">
                  <c:v>0.81135120120526649</c:v>
                </c:pt>
                <c:pt idx="55">
                  <c:v>0.8113997777788281</c:v>
                </c:pt>
                <c:pt idx="56">
                  <c:v>0.81142406743666207</c:v>
                </c:pt>
                <c:pt idx="57">
                  <c:v>0.90690097446942264</c:v>
                </c:pt>
                <c:pt idx="58">
                  <c:v>0.90692871117225238</c:v>
                </c:pt>
                <c:pt idx="59">
                  <c:v>0.90698418745647602</c:v>
                </c:pt>
                <c:pt idx="60">
                  <c:v>0.90701192706972589</c:v>
                </c:pt>
                <c:pt idx="61">
                  <c:v>0.96067265636367438</c:v>
                </c:pt>
                <c:pt idx="62">
                  <c:v>0.96070224448760555</c:v>
                </c:pt>
                <c:pt idx="63">
                  <c:v>0.96076142373656004</c:v>
                </c:pt>
                <c:pt idx="64">
                  <c:v>0.96079101486405305</c:v>
                </c:pt>
                <c:pt idx="65">
                  <c:v>1.0763955657291031</c:v>
                </c:pt>
                <c:pt idx="66">
                  <c:v>1.0764289604300108</c:v>
                </c:pt>
                <c:pt idx="67">
                  <c:v>1.0764957529969086</c:v>
                </c:pt>
                <c:pt idx="68">
                  <c:v>1.0765291508844101</c:v>
                </c:pt>
                <c:pt idx="69">
                  <c:v>1.2721409593370676</c:v>
                </c:pt>
                <c:pt idx="70">
                  <c:v>1.2721803545925694</c:v>
                </c:pt>
                <c:pt idx="71">
                  <c:v>1.2722591485745971</c:v>
                </c:pt>
                <c:pt idx="72">
                  <c:v>1.2722985472928725</c:v>
                </c:pt>
                <c:pt idx="73">
                  <c:v>1.5015612770099718</c:v>
                </c:pt>
                <c:pt idx="74">
                  <c:v>1.5016071794418566</c:v>
                </c:pt>
                <c:pt idx="75">
                  <c:v>1.5016989880635285</c:v>
                </c:pt>
                <c:pt idx="76">
                  <c:v>1.5017448942688614</c:v>
                </c:pt>
                <c:pt idx="77">
                  <c:v>1.6789796385544595</c:v>
                </c:pt>
                <c:pt idx="78">
                  <c:v>1.6790302757021138</c:v>
                </c:pt>
                <c:pt idx="79">
                  <c:v>1.6791315539865888</c:v>
                </c:pt>
                <c:pt idx="80">
                  <c:v>1.6791821951207191</c:v>
                </c:pt>
                <c:pt idx="81">
                  <c:v>1.7763366964238585</c:v>
                </c:pt>
                <c:pt idx="82">
                  <c:v>1.7763898407182659</c:v>
                </c:pt>
                <c:pt idx="83">
                  <c:v>1.7764961333849967</c:v>
                </c:pt>
                <c:pt idx="84">
                  <c:v>1.7765492817395723</c:v>
                </c:pt>
                <c:pt idx="85">
                  <c:v>1.9810400229223257</c:v>
                </c:pt>
                <c:pt idx="86">
                  <c:v>1.9810982587656676</c:v>
                </c:pt>
                <c:pt idx="87">
                  <c:v>1.9812147347053763</c:v>
                </c:pt>
                <c:pt idx="88">
                  <c:v>1.9812729748067777</c:v>
                </c:pt>
                <c:pt idx="89">
                  <c:v>2.3156126358379381</c:v>
                </c:pt>
                <c:pt idx="90">
                  <c:v>2.3156787539194461</c:v>
                </c:pt>
                <c:pt idx="91">
                  <c:v>2.3158109946400867</c:v>
                </c:pt>
                <c:pt idx="92">
                  <c:v>2.3158771172940633</c:v>
                </c:pt>
                <c:pt idx="93">
                  <c:v>2.6939924673067632</c:v>
                </c:pt>
                <c:pt idx="94">
                  <c:v>2.6940669742644134</c:v>
                </c:pt>
                <c:pt idx="95">
                  <c:v>2.6942159929819498</c:v>
                </c:pt>
                <c:pt idx="96">
                  <c:v>2.6942905047411698</c:v>
                </c:pt>
                <c:pt idx="97">
                  <c:v>2.978954509547604</c:v>
                </c:pt>
                <c:pt idx="98">
                  <c:v>2.9790350362132054</c:v>
                </c:pt>
                <c:pt idx="99">
                  <c:v>2.9791960945205704</c:v>
                </c:pt>
                <c:pt idx="100">
                  <c:v>2.9792766261442929</c:v>
                </c:pt>
                <c:pt idx="101">
                  <c:v>3.1330111486128853</c:v>
                </c:pt>
                <c:pt idx="102">
                  <c:v>3.1330948380965782</c:v>
                </c:pt>
                <c:pt idx="103">
                  <c:v>3.1332622221740807</c:v>
                </c:pt>
                <c:pt idx="104">
                  <c:v>3.1333459168009958</c:v>
                </c:pt>
                <c:pt idx="105">
                  <c:v>3.4523941842198793</c:v>
                </c:pt>
                <c:pt idx="106">
                  <c:v>3.4524842502004334</c:v>
                </c:pt>
                <c:pt idx="107">
                  <c:v>3.4526643874785234</c:v>
                </c:pt>
                <c:pt idx="108">
                  <c:v>3.4527544587671111</c:v>
                </c:pt>
                <c:pt idx="109">
                  <c:v>3.9634275290117547</c:v>
                </c:pt>
                <c:pt idx="110">
                  <c:v>3.9635273588894471</c:v>
                </c:pt>
                <c:pt idx="111">
                  <c:v>3.9637270242941818</c:v>
                </c:pt>
                <c:pt idx="112">
                  <c:v>3.9638268597584441</c:v>
                </c:pt>
                <c:pt idx="113">
                  <c:v>4.5284002466246971</c:v>
                </c:pt>
                <c:pt idx="114">
                  <c:v>4.5285103470056383</c:v>
                </c:pt>
                <c:pt idx="115">
                  <c:v>4.5287305536766986</c:v>
                </c:pt>
                <c:pt idx="116">
                  <c:v>4.5288406599984219</c:v>
                </c:pt>
                <c:pt idx="117">
                  <c:v>4.9466050045784762</c:v>
                </c:pt>
                <c:pt idx="118">
                  <c:v>4.9467224096217244</c:v>
                </c:pt>
                <c:pt idx="119">
                  <c:v>4.9469572257900616</c:v>
                </c:pt>
                <c:pt idx="120">
                  <c:v>4.9470746368955894</c:v>
                </c:pt>
                <c:pt idx="121">
                  <c:v>5.1704752485045251</c:v>
                </c:pt>
                <c:pt idx="122">
                  <c:v>5.1705964721335178</c:v>
                </c:pt>
                <c:pt idx="123">
                  <c:v>5.1708389254884262</c:v>
                </c:pt>
                <c:pt idx="124">
                  <c:v>5.1709601552386451</c:v>
                </c:pt>
                <c:pt idx="125">
                  <c:v>5.6302369181955534</c:v>
                </c:pt>
                <c:pt idx="126">
                  <c:v>5.6303658032459527</c:v>
                </c:pt>
                <c:pt idx="127">
                  <c:v>5.6306235796294359</c:v>
                </c:pt>
                <c:pt idx="128">
                  <c:v>5.6307524710384875</c:v>
                </c:pt>
                <c:pt idx="129">
                  <c:v>6.355363942424173</c:v>
                </c:pt>
                <c:pt idx="130">
                  <c:v>6.3555044730129868</c:v>
                </c:pt>
                <c:pt idx="131">
                  <c:v>6.3557855407596735</c:v>
                </c:pt>
                <c:pt idx="132">
                  <c:v>6.3559260780118016</c:v>
                </c:pt>
                <c:pt idx="133">
                  <c:v>7.1445623211268412</c:v>
                </c:pt>
                <c:pt idx="134">
                  <c:v>7.1447150038724834</c:v>
                </c:pt>
                <c:pt idx="135">
                  <c:v>7.1450203761604421</c:v>
                </c:pt>
                <c:pt idx="136">
                  <c:v>7.1451730658252224</c:v>
                </c:pt>
                <c:pt idx="137">
                  <c:v>7.7217084034161116</c:v>
                </c:pt>
                <c:pt idx="138">
                  <c:v>7.7218696756533269</c:v>
                </c:pt>
                <c:pt idx="139">
                  <c:v>7.722192227382056</c:v>
                </c:pt>
                <c:pt idx="140">
                  <c:v>7.7223535067314284</c:v>
                </c:pt>
                <c:pt idx="141">
                  <c:v>8.0285060524756044</c:v>
                </c:pt>
                <c:pt idx="142">
                  <c:v>8.0286717990123204</c:v>
                </c:pt>
                <c:pt idx="143">
                  <c:v>8.0290032991766349</c:v>
                </c:pt>
                <c:pt idx="144">
                  <c:v>8.0291690528940691</c:v>
                </c:pt>
                <c:pt idx="145">
                  <c:v>8.6543448317291087</c:v>
                </c:pt>
                <c:pt idx="146">
                  <c:v>8.6545195245541038</c:v>
                </c:pt>
                <c:pt idx="147">
                  <c:v>8.654868917627093</c:v>
                </c:pt>
                <c:pt idx="148">
                  <c:v>8.6550436178296213</c:v>
                </c:pt>
                <c:pt idx="149">
                  <c:v>11.432349165593571</c:v>
                </c:pt>
                <c:pt idx="150">
                  <c:v>11.432542794872724</c:v>
                </c:pt>
                <c:pt idx="151">
                  <c:v>11.43293006109247</c:v>
                </c:pt>
                <c:pt idx="152">
                  <c:v>11.433123698062268</c:v>
                </c:pt>
                <c:pt idx="153">
                  <c:v>12.512704991484652</c:v>
                </c:pt>
                <c:pt idx="154">
                  <c:v>12.512912732835671</c:v>
                </c:pt>
                <c:pt idx="155">
                  <c:v>12.513328223509294</c:v>
                </c:pt>
                <c:pt idx="156">
                  <c:v>12.513535972849786</c:v>
                </c:pt>
                <c:pt idx="157">
                  <c:v>13.294845794678947</c:v>
                </c:pt>
                <c:pt idx="158">
                  <c:v>13.295063513279953</c:v>
                </c:pt>
                <c:pt idx="159">
                  <c:v>13.295498958680692</c:v>
                </c:pt>
                <c:pt idx="160">
                  <c:v>13.295716685522851</c:v>
                </c:pt>
                <c:pt idx="161">
                  <c:v>13.708236330017929</c:v>
                </c:pt>
                <c:pt idx="162">
                  <c:v>13.708459246358059</c:v>
                </c:pt>
                <c:pt idx="163">
                  <c:v>13.708905087448112</c:v>
                </c:pt>
                <c:pt idx="164">
                  <c:v>13.709128012181123</c:v>
                </c:pt>
                <c:pt idx="165">
                  <c:v>14.546944236537019</c:v>
                </c:pt>
                <c:pt idx="166">
                  <c:v>14.547177547365283</c:v>
                </c:pt>
                <c:pt idx="167">
                  <c:v>14.547644177664948</c:v>
                </c:pt>
                <c:pt idx="168">
                  <c:v>14.547877497101235</c:v>
                </c:pt>
                <c:pt idx="169">
                  <c:v>15.845301469561161</c:v>
                </c:pt>
                <c:pt idx="170">
                  <c:v>15.845550500377785</c:v>
                </c:pt>
                <c:pt idx="171">
                  <c:v>15.846048570950041</c:v>
                </c:pt>
                <c:pt idx="172">
                  <c:v>15.846297610665578</c:v>
                </c:pt>
                <c:pt idx="173">
                  <c:v>17.229900589408526</c:v>
                </c:pt>
                <c:pt idx="174">
                  <c:v>17.230165932591145</c:v>
                </c:pt>
                <c:pt idx="175">
                  <c:v>17.230696628238384</c:v>
                </c:pt>
                <c:pt idx="176">
                  <c:v>17.230961980676874</c:v>
                </c:pt>
                <c:pt idx="177">
                  <c:v>18.226611293287899</c:v>
                </c:pt>
                <c:pt idx="178">
                  <c:v>18.226888116313539</c:v>
                </c:pt>
                <c:pt idx="179">
                  <c:v>18.227441771773293</c:v>
                </c:pt>
                <c:pt idx="180">
                  <c:v>18.227718604233775</c:v>
                </c:pt>
                <c:pt idx="181">
                  <c:v>18.751624502334963</c:v>
                </c:pt>
                <c:pt idx="182">
                  <c:v>18.751907289853083</c:v>
                </c:pt>
                <c:pt idx="183">
                  <c:v>18.752472874436481</c:v>
                </c:pt>
                <c:pt idx="184">
                  <c:v>18.752755671573627</c:v>
                </c:pt>
                <c:pt idx="185">
                  <c:v>19.813246673042883</c:v>
                </c:pt>
                <c:pt idx="186">
                  <c:v>19.813541357629671</c:v>
                </c:pt>
                <c:pt idx="187">
                  <c:v>19.814130736465454</c:v>
                </c:pt>
                <c:pt idx="188">
                  <c:v>19.81442543085134</c:v>
                </c:pt>
                <c:pt idx="189">
                  <c:v>21.448005166020767</c:v>
                </c:pt>
                <c:pt idx="190">
                  <c:v>21.448317770813166</c:v>
                </c:pt>
                <c:pt idx="191">
                  <c:v>21.448942990519996</c:v>
                </c:pt>
                <c:pt idx="192">
                  <c:v>21.449255605432668</c:v>
                </c:pt>
                <c:pt idx="193">
                  <c:v>23.180853309422272</c:v>
                </c:pt>
                <c:pt idx="194">
                  <c:v>23.181184426852695</c:v>
                </c:pt>
                <c:pt idx="195">
                  <c:v>23.18184667216164</c:v>
                </c:pt>
                <c:pt idx="196">
                  <c:v>23.182177800044006</c:v>
                </c:pt>
                <c:pt idx="197">
                  <c:v>24.422184432929303</c:v>
                </c:pt>
                <c:pt idx="198">
                  <c:v>24.422528532636004</c:v>
                </c:pt>
                <c:pt idx="199">
                  <c:v>24.423216742788991</c:v>
                </c:pt>
                <c:pt idx="200">
                  <c:v>24.423560853178117</c:v>
                </c:pt>
                <c:pt idx="201">
                  <c:v>-18.541371485215603</c:v>
                </c:pt>
                <c:pt idx="202">
                  <c:v>-18.541107515443429</c:v>
                </c:pt>
                <c:pt idx="203">
                  <c:v>-18.540579581804565</c:v>
                </c:pt>
                <c:pt idx="204">
                  <c:v>-18.540315618283046</c:v>
                </c:pt>
                <c:pt idx="205">
                  <c:v>-17.584434931133327</c:v>
                </c:pt>
                <c:pt idx="206">
                  <c:v>-17.584178398755896</c:v>
                </c:pt>
                <c:pt idx="207">
                  <c:v>-17.583665339850885</c:v>
                </c:pt>
                <c:pt idx="208">
                  <c:v>-17.583408813405725</c:v>
                </c:pt>
                <c:pt idx="209">
                  <c:v>-16.231921667356712</c:v>
                </c:pt>
                <c:pt idx="210">
                  <c:v>-16.231675802751059</c:v>
                </c:pt>
                <c:pt idx="211">
                  <c:v>-16.231184079162372</c:v>
                </c:pt>
                <c:pt idx="212">
                  <c:v>-16.230938220372767</c:v>
                </c:pt>
                <c:pt idx="213">
                  <c:v>-14.936136114073623</c:v>
                </c:pt>
                <c:pt idx="214">
                  <c:v>-14.93590065151982</c:v>
                </c:pt>
                <c:pt idx="215">
                  <c:v>-14.935429732376967</c:v>
                </c:pt>
                <c:pt idx="216">
                  <c:v>-14.935194275651035</c:v>
                </c:pt>
                <c:pt idx="217">
                  <c:v>-14.08312976689799</c:v>
                </c:pt>
                <c:pt idx="218">
                  <c:v>-14.082901255195228</c:v>
                </c:pt>
                <c:pt idx="219">
                  <c:v>-14.082444237704561</c:v>
                </c:pt>
                <c:pt idx="220">
                  <c:v>-14.082215731645391</c:v>
                </c:pt>
                <c:pt idx="221">
                  <c:v>-13.657636179213849</c:v>
                </c:pt>
                <c:pt idx="222">
                  <c:v>-13.657411166865103</c:v>
                </c:pt>
                <c:pt idx="223">
                  <c:v>-13.656961147711321</c:v>
                </c:pt>
                <c:pt idx="224">
                  <c:v>-13.656736140887787</c:v>
                </c:pt>
                <c:pt idx="225">
                  <c:v>-12.842712304756905</c:v>
                </c:pt>
                <c:pt idx="226">
                  <c:v>-12.842494056208622</c:v>
                </c:pt>
                <c:pt idx="227">
                  <c:v>-12.842057564558853</c:v>
                </c:pt>
                <c:pt idx="228">
                  <c:v>-12.841839321579283</c:v>
                </c:pt>
                <c:pt idx="229">
                  <c:v>-11.693691078330232</c:v>
                </c:pt>
                <c:pt idx="230">
                  <c:v>-11.693482511145028</c:v>
                </c:pt>
                <c:pt idx="231">
                  <c:v>-11.693065382322274</c:v>
                </c:pt>
                <c:pt idx="232">
                  <c:v>-11.692856820486078</c:v>
                </c:pt>
                <c:pt idx="233">
                  <c:v>-10.596086391661856</c:v>
                </c:pt>
                <c:pt idx="234">
                  <c:v>-10.595887240404011</c:v>
                </c:pt>
                <c:pt idx="235">
                  <c:v>-10.595488943042071</c:v>
                </c:pt>
                <c:pt idx="236">
                  <c:v>-10.595289796926792</c:v>
                </c:pt>
                <c:pt idx="237">
                  <c:v>-9.8753621870881716</c:v>
                </c:pt>
                <c:pt idx="238">
                  <c:v>-9.8751693130597928</c:v>
                </c:pt>
                <c:pt idx="239">
                  <c:v>-9.8747835702384137</c:v>
                </c:pt>
                <c:pt idx="240">
                  <c:v>-9.874590701448831</c:v>
                </c:pt>
                <c:pt idx="241">
                  <c:v>-9.516416910333696</c:v>
                </c:pt>
                <c:pt idx="242">
                  <c:v>-9.5162271918718986</c:v>
                </c:pt>
                <c:pt idx="243">
                  <c:v>-9.5158477601190512</c:v>
                </c:pt>
                <c:pt idx="244">
                  <c:v>-9.5156580466570873</c:v>
                </c:pt>
                <c:pt idx="245">
                  <c:v>-8.8300345383422822</c:v>
                </c:pt>
                <c:pt idx="246">
                  <c:v>-8.8298509102967913</c:v>
                </c:pt>
                <c:pt idx="247">
                  <c:v>-8.8294836589332419</c:v>
                </c:pt>
                <c:pt idx="248">
                  <c:v>-8.8293000357131675</c:v>
                </c:pt>
                <c:pt idx="249">
                  <c:v>-7.8647782947603062</c:v>
                </c:pt>
                <c:pt idx="250">
                  <c:v>-7.8646033616943711</c:v>
                </c:pt>
                <c:pt idx="251">
                  <c:v>-7.8642535002603324</c:v>
                </c:pt>
                <c:pt idx="252">
                  <c:v>-7.8640785717893209</c:v>
                </c:pt>
                <c:pt idx="253">
                  <c:v>-6.9456273233296528</c:v>
                </c:pt>
                <c:pt idx="254">
                  <c:v>-6.9454608197945973</c:v>
                </c:pt>
                <c:pt idx="255">
                  <c:v>-6.945127817124586</c:v>
                </c:pt>
                <c:pt idx="256">
                  <c:v>-6.9449613182190362</c:v>
                </c:pt>
                <c:pt idx="257">
                  <c:v>-6.3437139078683344</c:v>
                </c:pt>
                <c:pt idx="258">
                  <c:v>-6.3435530079006242</c:v>
                </c:pt>
                <c:pt idx="259">
                  <c:v>-6.3432312127208661</c:v>
                </c:pt>
                <c:pt idx="260">
                  <c:v>-6.3430703174033454</c:v>
                </c:pt>
                <c:pt idx="261">
                  <c:v>-6.0444425809844375</c:v>
                </c:pt>
                <c:pt idx="262">
                  <c:v>-6.0442844929713004</c:v>
                </c:pt>
                <c:pt idx="263">
                  <c:v>-6.0439683212339972</c:v>
                </c:pt>
                <c:pt idx="264">
                  <c:v>-6.0438102376397111</c:v>
                </c:pt>
                <c:pt idx="265">
                  <c:v>-5.4731302937856654</c:v>
                </c:pt>
                <c:pt idx="266">
                  <c:v>-5.4729776223967903</c:v>
                </c:pt>
                <c:pt idx="267">
                  <c:v>-5.472672284028846</c:v>
                </c:pt>
                <c:pt idx="268">
                  <c:v>-5.4725196171309207</c:v>
                </c:pt>
                <c:pt idx="269">
                  <c:v>-4.6719116331668573</c:v>
                </c:pt>
                <c:pt idx="270">
                  <c:v>-4.6717666703693794</c:v>
                </c:pt>
                <c:pt idx="271">
                  <c:v>-4.6714767493461622</c:v>
                </c:pt>
                <c:pt idx="272">
                  <c:v>-4.6713317908074998</c:v>
                </c:pt>
                <c:pt idx="273">
                  <c:v>-3.9114868913322312</c:v>
                </c:pt>
                <c:pt idx="274">
                  <c:v>-3.9113493717247394</c:v>
                </c:pt>
                <c:pt idx="275">
                  <c:v>-3.9110743367443348</c:v>
                </c:pt>
                <c:pt idx="276">
                  <c:v>-3.9109368211557367</c:v>
                </c:pt>
                <c:pt idx="277">
                  <c:v>-3.4149126886937538</c:v>
                </c:pt>
                <c:pt idx="278">
                  <c:v>-3.4147800992884001</c:v>
                </c:pt>
                <c:pt idx="279">
                  <c:v>-3.4145149244564763</c:v>
                </c:pt>
                <c:pt idx="280">
                  <c:v>-3.4143823388818575</c:v>
                </c:pt>
                <c:pt idx="281">
                  <c:v>-3.1684408385091061</c:v>
                </c:pt>
                <c:pt idx="282">
                  <c:v>-3.1683107172005762</c:v>
                </c:pt>
                <c:pt idx="283">
                  <c:v>-3.1680504784485493</c:v>
                </c:pt>
                <c:pt idx="284">
                  <c:v>-3.1679203609616877</c:v>
                </c:pt>
                <c:pt idx="285">
                  <c:v>-2.6987270024138681</c:v>
                </c:pt>
                <c:pt idx="286">
                  <c:v>-2.6986016241390303</c:v>
                </c:pt>
                <c:pt idx="287">
                  <c:v>-2.6983508715050277</c:v>
                </c:pt>
                <c:pt idx="288">
                  <c:v>-2.6982254971112383</c:v>
                </c:pt>
                <c:pt idx="289">
                  <c:v>-2.0418182180971982</c:v>
                </c:pt>
                <c:pt idx="290">
                  <c:v>-2.0416995620803178</c:v>
                </c:pt>
                <c:pt idx="291">
                  <c:v>-2.0414622538263174</c:v>
                </c:pt>
                <c:pt idx="292">
                  <c:v>-2.0413436015330788</c:v>
                </c:pt>
                <c:pt idx="293">
                  <c:v>-1.420391922266468</c:v>
                </c:pt>
                <c:pt idx="294">
                  <c:v>-1.4202797231662316</c:v>
                </c:pt>
                <c:pt idx="295">
                  <c:v>-1.4200553281675781</c:v>
                </c:pt>
                <c:pt idx="296">
                  <c:v>-1.4199431322427571</c:v>
                </c:pt>
                <c:pt idx="297">
                  <c:v>-1.015685158612456</c:v>
                </c:pt>
                <c:pt idx="298">
                  <c:v>-1.0155772158570002</c:v>
                </c:pt>
                <c:pt idx="299">
                  <c:v>-1.0153613338675527</c:v>
                </c:pt>
                <c:pt idx="300">
                  <c:v>-1.0152533946425351</c:v>
                </c:pt>
                <c:pt idx="301">
                  <c:v>-0.81513821312798029</c:v>
                </c:pt>
                <c:pt idx="302">
                  <c:v>-0.8150323949853302</c:v>
                </c:pt>
                <c:pt idx="303">
                  <c:v>-0.81482076161291417</c:v>
                </c:pt>
                <c:pt idx="304">
                  <c:v>-0.81471494665365185</c:v>
                </c:pt>
                <c:pt idx="305">
                  <c:v>-0.43355100396267687</c:v>
                </c:pt>
                <c:pt idx="306">
                  <c:v>-0.43344925516456101</c:v>
                </c:pt>
                <c:pt idx="307">
                  <c:v>-0.4332457607255833</c:v>
                </c:pt>
                <c:pt idx="308">
                  <c:v>-0.43314401527020152</c:v>
                </c:pt>
                <c:pt idx="309">
                  <c:v>9.8775881801699938E-2</c:v>
                </c:pt>
                <c:pt idx="310">
                  <c:v>9.8871894751297873E-2</c:v>
                </c:pt>
                <c:pt idx="311">
                  <c:v>9.9063917568216198E-2</c:v>
                </c:pt>
                <c:pt idx="312">
                  <c:v>9.9159927344871335E-2</c:v>
                </c:pt>
                <c:pt idx="313">
                  <c:v>0.60093177555832256</c:v>
                </c:pt>
                <c:pt idx="314">
                  <c:v>0.60102231828800257</c:v>
                </c:pt>
                <c:pt idx="315">
                  <c:v>0.60120340062162825</c:v>
                </c:pt>
                <c:pt idx="316">
                  <c:v>0.60129394028423633</c:v>
                </c:pt>
                <c:pt idx="317">
                  <c:v>0.9272430463638841</c:v>
                </c:pt>
                <c:pt idx="318">
                  <c:v>0.92733000611245586</c:v>
                </c:pt>
                <c:pt idx="319">
                  <c:v>0.92750392259237913</c:v>
                </c:pt>
                <c:pt idx="320">
                  <c:v>0.9275908793633505</c:v>
                </c:pt>
                <c:pt idx="321">
                  <c:v>0.98308390474902296</c:v>
                </c:pt>
                <c:pt idx="322">
                  <c:v>0.98316945779980358</c:v>
                </c:pt>
                <c:pt idx="323">
                  <c:v>0.98334056105358059</c:v>
                </c:pt>
                <c:pt idx="324">
                  <c:v>0.98342611119117862</c:v>
                </c:pt>
                <c:pt idx="325">
                  <c:v>1.2914170379549432</c:v>
                </c:pt>
                <c:pt idx="326">
                  <c:v>1.2914992118576976</c:v>
                </c:pt>
                <c:pt idx="327">
                  <c:v>1.2916635570290964</c:v>
                </c:pt>
                <c:pt idx="328">
                  <c:v>1.2917457284557656</c:v>
                </c:pt>
                <c:pt idx="329">
                  <c:v>1.7211309496258025</c:v>
                </c:pt>
                <c:pt idx="330">
                  <c:v>1.7212084312943006</c:v>
                </c:pt>
                <c:pt idx="331">
                  <c:v>1.7213633918018303</c:v>
                </c:pt>
                <c:pt idx="332">
                  <c:v>1.7214408708841802</c:v>
                </c:pt>
                <c:pt idx="333">
                  <c:v>2.1263962138998096</c:v>
                </c:pt>
                <c:pt idx="334">
                  <c:v>2.1264693070252463</c:v>
                </c:pt>
                <c:pt idx="335">
                  <c:v>2.1266154911160555</c:v>
                </c:pt>
                <c:pt idx="336">
                  <c:v>2.1266885820629682</c:v>
                </c:pt>
                <c:pt idx="337">
                  <c:v>2.3899372520211841</c:v>
                </c:pt>
                <c:pt idx="338">
                  <c:v>2.3900075232723452</c:v>
                </c:pt>
                <c:pt idx="339">
                  <c:v>2.3901480634667678</c:v>
                </c:pt>
                <c:pt idx="340">
                  <c:v>2.3902183323861976</c:v>
                </c:pt>
                <c:pt idx="341">
                  <c:v>2.5204895042062248</c:v>
                </c:pt>
                <c:pt idx="342">
                  <c:v>2.5205583899731607</c:v>
                </c:pt>
                <c:pt idx="343">
                  <c:v>2.5206961593707859</c:v>
                </c:pt>
                <c:pt idx="344">
                  <c:v>2.5207650429444897</c:v>
                </c:pt>
                <c:pt idx="345">
                  <c:v>2.7689530318122593</c:v>
                </c:pt>
                <c:pt idx="346">
                  <c:v>2.7690193097228075</c:v>
                </c:pt>
                <c:pt idx="347">
                  <c:v>2.7691518635954537</c:v>
                </c:pt>
                <c:pt idx="348">
                  <c:v>2.7692181393783102</c:v>
                </c:pt>
                <c:pt idx="349">
                  <c:v>3.1161117572951866</c:v>
                </c:pt>
                <c:pt idx="350">
                  <c:v>3.1161744722750484</c:v>
                </c:pt>
                <c:pt idx="351">
                  <c:v>3.1162999001279985</c:v>
                </c:pt>
                <c:pt idx="352">
                  <c:v>3.1163626130545339</c:v>
                </c:pt>
                <c:pt idx="353">
                  <c:v>3.4449029490619409</c:v>
                </c:pt>
                <c:pt idx="354">
                  <c:v>3.444962404954083</c:v>
                </c:pt>
                <c:pt idx="355">
                  <c:v>3.4450813150321409</c:v>
                </c:pt>
                <c:pt idx="356">
                  <c:v>3.445140769120556</c:v>
                </c:pt>
                <c:pt idx="357">
                  <c:v>3.6597155223748814</c:v>
                </c:pt>
                <c:pt idx="358">
                  <c:v>3.6597729274627966</c:v>
                </c:pt>
                <c:pt idx="359">
                  <c:v>3.6598877359462847</c:v>
                </c:pt>
                <c:pt idx="360">
                  <c:v>3.6599451393519331</c:v>
                </c:pt>
                <c:pt idx="361">
                  <c:v>3.7664947168979523</c:v>
                </c:pt>
                <c:pt idx="362">
                  <c:v>3.7665511301403285</c:v>
                </c:pt>
                <c:pt idx="363">
                  <c:v>3.766663954938906</c:v>
                </c:pt>
                <c:pt idx="364">
                  <c:v>3.7667203666012909</c:v>
                </c:pt>
                <c:pt idx="365">
                  <c:v>3.9705126611732027</c:v>
                </c:pt>
                <c:pt idx="366">
                  <c:v>3.9705672376344268</c:v>
                </c:pt>
                <c:pt idx="367">
                  <c:v>3.9706763893290429</c:v>
                </c:pt>
                <c:pt idx="368">
                  <c:v>3.9707309644014686</c:v>
                </c:pt>
                <c:pt idx="369">
                  <c:v>4.2577029179982162</c:v>
                </c:pt>
                <c:pt idx="370">
                  <c:v>4.2577550607699806</c:v>
                </c:pt>
                <c:pt idx="371">
                  <c:v>4.257859345144837</c:v>
                </c:pt>
                <c:pt idx="372">
                  <c:v>4.2579114868305936</c:v>
                </c:pt>
                <c:pt idx="373">
                  <c:v>4.5326067889196366</c:v>
                </c:pt>
                <c:pt idx="374">
                  <c:v>4.5326568021366711</c:v>
                </c:pt>
                <c:pt idx="375">
                  <c:v>4.5327568272820713</c:v>
                </c:pt>
                <c:pt idx="376">
                  <c:v>4.5328068394125438</c:v>
                </c:pt>
                <c:pt idx="377">
                  <c:v>4.7141149825240376</c:v>
                </c:pt>
                <c:pt idx="378">
                  <c:v>4.7141637160335108</c:v>
                </c:pt>
                <c:pt idx="379">
                  <c:v>4.7142611820782037</c:v>
                </c:pt>
                <c:pt idx="380">
                  <c:v>4.7143099146485667</c:v>
                </c:pt>
                <c:pt idx="381">
                  <c:v>4.8049919356355986</c:v>
                </c:pt>
                <c:pt idx="382">
                  <c:v>4.805040070909314</c:v>
                </c:pt>
                <c:pt idx="383">
                  <c:v>4.8051363403120035</c:v>
                </c:pt>
                <c:pt idx="384">
                  <c:v>4.8051844746064631</c:v>
                </c:pt>
                <c:pt idx="385">
                  <c:v>4.9799884016107825</c:v>
                </c:pt>
                <c:pt idx="386">
                  <c:v>4.9800354714521546</c:v>
                </c:pt>
                <c:pt idx="387">
                  <c:v>4.9801296101288983</c:v>
                </c:pt>
                <c:pt idx="388">
                  <c:v>4.9801766791451598</c:v>
                </c:pt>
                <c:pt idx="389">
                  <c:v>5.2297970196869272</c:v>
                </c:pt>
                <c:pt idx="390">
                  <c:v>5.2298427850132327</c:v>
                </c:pt>
                <c:pt idx="391">
                  <c:v>5.2299343152123612</c:v>
                </c:pt>
                <c:pt idx="392">
                  <c:v>5.2299800798950855</c:v>
                </c:pt>
                <c:pt idx="393">
                  <c:v>5.4734004229202782</c:v>
                </c:pt>
                <c:pt idx="394">
                  <c:v>5.4734451878958339</c:v>
                </c:pt>
                <c:pt idx="395">
                  <c:v>5.4735347175493985</c:v>
                </c:pt>
                <c:pt idx="396">
                  <c:v>5.4735794821488923</c:v>
                </c:pt>
                <c:pt idx="397">
                  <c:v>5.6370283840134334</c:v>
                </c:pt>
                <c:pt idx="398">
                  <c:v>5.6370726407205893</c:v>
                </c:pt>
                <c:pt idx="399">
                  <c:v>5.6371611537445858</c:v>
                </c:pt>
                <c:pt idx="400">
                  <c:v>5.6372054099908411</c:v>
                </c:pt>
                <c:pt idx="401">
                  <c:v>5.719873941657454</c:v>
                </c:pt>
                <c:pt idx="402">
                  <c:v>5.7199179936018112</c:v>
                </c:pt>
                <c:pt idx="403">
                  <c:v>5.7200060970907032</c:v>
                </c:pt>
                <c:pt idx="404">
                  <c:v>5.7200501486440061</c:v>
                </c:pt>
                <c:pt idx="405">
                  <c:v>5.8812730893596665</c:v>
                </c:pt>
                <c:pt idx="406">
                  <c:v>5.8813168470069286</c:v>
                </c:pt>
                <c:pt idx="407">
                  <c:v>5.8814043621153758</c:v>
                </c:pt>
                <c:pt idx="408">
                  <c:v>5.8814481195018971</c:v>
                </c:pt>
                <c:pt idx="409">
                  <c:v>6.1162869683587076</c:v>
                </c:pt>
                <c:pt idx="410">
                  <c:v>6.1163305509239763</c:v>
                </c:pt>
                <c:pt idx="411">
                  <c:v>6.1164177161151088</c:v>
                </c:pt>
                <c:pt idx="412">
                  <c:v>6.1164612987029727</c:v>
                </c:pt>
                <c:pt idx="413">
                  <c:v>6.3511768153368564</c:v>
                </c:pt>
                <c:pt idx="414">
                  <c:v>6.3512205269591959</c:v>
                </c:pt>
                <c:pt idx="415">
                  <c:v>6.3513079504604946</c:v>
                </c:pt>
                <c:pt idx="416">
                  <c:v>6.3513516622097654</c:v>
                </c:pt>
                <c:pt idx="417">
                  <c:v>6.5123487252247685</c:v>
                </c:pt>
                <c:pt idx="418">
                  <c:v>6.5123926997424064</c:v>
                </c:pt>
                <c:pt idx="419">
                  <c:v>6.5124806489439777</c:v>
                </c:pt>
                <c:pt idx="420">
                  <c:v>6.5125246235680549</c:v>
                </c:pt>
                <c:pt idx="421">
                  <c:v>6.5950337484542558</c:v>
                </c:pt>
                <c:pt idx="422">
                  <c:v>6.595077911734279</c:v>
                </c:pt>
                <c:pt idx="423">
                  <c:v>6.5951662384988765</c:v>
                </c:pt>
                <c:pt idx="424">
                  <c:v>6.5952104019612818</c:v>
                </c:pt>
                <c:pt idx="425">
                  <c:v>6.7582597628618544</c:v>
                </c:pt>
                <c:pt idx="426">
                  <c:v>6.7583044030814392</c:v>
                </c:pt>
                <c:pt idx="427">
                  <c:v>6.758393683914818</c:v>
                </c:pt>
                <c:pt idx="428">
                  <c:v>6.7584383245954029</c:v>
                </c:pt>
                <c:pt idx="429">
                  <c:v>7.001065830745631</c:v>
                </c:pt>
                <c:pt idx="430">
                  <c:v>7.0011114251879576</c:v>
                </c:pt>
                <c:pt idx="431">
                  <c:v>7.0012026148152984</c:v>
                </c:pt>
                <c:pt idx="432">
                  <c:v>7.0012482099388365</c:v>
                </c:pt>
                <c:pt idx="433">
                  <c:v>7.2498290493682589</c:v>
                </c:pt>
                <c:pt idx="434">
                  <c:v>7.2498759021419801</c:v>
                </c:pt>
                <c:pt idx="435">
                  <c:v>7.2499696087948848</c:v>
                </c:pt>
                <c:pt idx="436">
                  <c:v>7.2500164622976229</c:v>
                </c:pt>
                <c:pt idx="437">
                  <c:v>7.4239690936324223</c:v>
                </c:pt>
                <c:pt idx="438">
                  <c:v>7.4240169805091227</c:v>
                </c:pt>
                <c:pt idx="439">
                  <c:v>7.4241127552528781</c:v>
                </c:pt>
                <c:pt idx="440">
                  <c:v>7.4241606429774833</c:v>
                </c:pt>
                <c:pt idx="441">
                  <c:v>7.5143644437244461</c:v>
                </c:pt>
                <c:pt idx="442">
                  <c:v>7.5144129129901103</c:v>
                </c:pt>
                <c:pt idx="443">
                  <c:v>7.5145098523159106</c:v>
                </c:pt>
                <c:pt idx="444">
                  <c:v>7.5145583224235963</c:v>
                </c:pt>
                <c:pt idx="445">
                  <c:v>7.6948415066780171</c:v>
                </c:pt>
                <c:pt idx="446">
                  <c:v>7.6948912240028449</c:v>
                </c:pt>
                <c:pt idx="447">
                  <c:v>7.6949906598071891</c:v>
                </c:pt>
                <c:pt idx="448">
                  <c:v>7.6950403782542196</c:v>
                </c:pt>
                <c:pt idx="449">
                  <c:v>7.9680266763031682</c:v>
                </c:pt>
                <c:pt idx="450">
                  <c:v>7.9680784773481435</c:v>
                </c:pt>
                <c:pt idx="451">
                  <c:v>7.9681820806526389</c:v>
                </c:pt>
                <c:pt idx="452">
                  <c:v>7.9682338829447588</c:v>
                </c:pt>
                <c:pt idx="453">
                  <c:v>8.2532501685505224</c:v>
                </c:pt>
                <c:pt idx="454">
                  <c:v>8.2533043573642715</c:v>
                </c:pt>
                <c:pt idx="455">
                  <c:v>8.2534127361258243</c:v>
                </c:pt>
                <c:pt idx="456">
                  <c:v>8.2534669262602165</c:v>
                </c:pt>
                <c:pt idx="457">
                  <c:v>8.455782508373602</c:v>
                </c:pt>
                <c:pt idx="458">
                  <c:v>8.4558385025119094</c:v>
                </c:pt>
                <c:pt idx="459">
                  <c:v>8.4559504919145922</c:v>
                </c:pt>
                <c:pt idx="460">
                  <c:v>8.4560064874630712</c:v>
                </c:pt>
                <c:pt idx="461">
                  <c:v>8.5617590325890944</c:v>
                </c:pt>
                <c:pt idx="462">
                  <c:v>8.561816002362832</c:v>
                </c:pt>
                <c:pt idx="463">
                  <c:v>8.5619299433875824</c:v>
                </c:pt>
                <c:pt idx="464">
                  <c:v>8.5619869149147689</c:v>
                </c:pt>
                <c:pt idx="465">
                  <c:v>8.7749112934573077</c:v>
                </c:pt>
                <c:pt idx="466">
                  <c:v>8.7749702826275211</c:v>
                </c:pt>
                <c:pt idx="467">
                  <c:v>8.7750882625603595</c:v>
                </c:pt>
                <c:pt idx="468">
                  <c:v>8.7751472533985577</c:v>
                </c:pt>
                <c:pt idx="469">
                  <c:v>9.1010624208894626</c:v>
                </c:pt>
                <c:pt idx="470">
                  <c:v>9.1011246230251857</c:v>
                </c:pt>
                <c:pt idx="471">
                  <c:v>9.1012490294010036</c:v>
                </c:pt>
                <c:pt idx="472">
                  <c:v>9.1013112334263155</c:v>
                </c:pt>
                <c:pt idx="473">
                  <c:v>9.4453330203160704</c:v>
                </c:pt>
                <c:pt idx="474">
                  <c:v>9.4453987395608578</c:v>
                </c:pt>
                <c:pt idx="475">
                  <c:v>9.4455301800636278</c:v>
                </c:pt>
                <c:pt idx="476">
                  <c:v>9.4455959013238839</c:v>
                </c:pt>
                <c:pt idx="477">
                  <c:v>9.691681763928699</c:v>
                </c:pt>
                <c:pt idx="478">
                  <c:v>9.6917500597740229</c:v>
                </c:pt>
                <c:pt idx="479">
                  <c:v>9.6918866532313928</c:v>
                </c:pt>
                <c:pt idx="480">
                  <c:v>9.6919549510667196</c:v>
                </c:pt>
                <c:pt idx="481">
                  <c:v>9.8211102795544321</c:v>
                </c:pt>
                <c:pt idx="482">
                  <c:v>9.8211799444177643</c:v>
                </c:pt>
                <c:pt idx="483">
                  <c:v>9.8213192768847648</c:v>
                </c:pt>
                <c:pt idx="484">
                  <c:v>9.8213889441507831</c:v>
                </c:pt>
                <c:pt idx="485">
                  <c:v>10.082361826464279</c:v>
                </c:pt>
                <c:pt idx="486">
                  <c:v>10.082434282021154</c:v>
                </c:pt>
                <c:pt idx="487">
                  <c:v>10.082579195712498</c:v>
                </c:pt>
                <c:pt idx="488">
                  <c:v>10.082651653687179</c:v>
                </c:pt>
                <c:pt idx="489">
                  <c:v>10.484065668702442</c:v>
                </c:pt>
                <c:pt idx="490">
                  <c:v>10.484142466630345</c:v>
                </c:pt>
                <c:pt idx="491">
                  <c:v>10.484296065183599</c:v>
                </c:pt>
                <c:pt idx="492">
                  <c:v>10.484372865635777</c:v>
                </c:pt>
                <c:pt idx="493">
                  <c:v>10.90997009794205</c:v>
                </c:pt>
                <c:pt idx="494">
                  <c:v>10.910051542453033</c:v>
                </c:pt>
                <c:pt idx="495">
                  <c:v>10.910214433932993</c:v>
                </c:pt>
                <c:pt idx="496">
                  <c:v>10.910295880901913</c:v>
                </c:pt>
                <c:pt idx="497">
                  <c:v>11.215559271456897</c:v>
                </c:pt>
                <c:pt idx="498">
                  <c:v>11.21564406335267</c:v>
                </c:pt>
                <c:pt idx="499">
                  <c:v>11.215813650164478</c:v>
                </c:pt>
                <c:pt idx="500">
                  <c:v>11.215898444944941</c:v>
                </c:pt>
                <c:pt idx="501">
                  <c:v>11.376310552068901</c:v>
                </c:pt>
                <c:pt idx="502">
                  <c:v>11.376397106938242</c:v>
                </c:pt>
                <c:pt idx="503">
                  <c:v>11.376570219668366</c:v>
                </c:pt>
                <c:pt idx="504">
                  <c:v>11.376656777323149</c:v>
                </c:pt>
                <c:pt idx="505">
                  <c:v>11.701085383085484</c:v>
                </c:pt>
                <c:pt idx="506">
                  <c:v>11.70117549983874</c:v>
                </c:pt>
                <c:pt idx="507">
                  <c:v>11.701355736116085</c:v>
                </c:pt>
                <c:pt idx="508">
                  <c:v>11.701445855779127</c:v>
                </c:pt>
                <c:pt idx="509">
                  <c:v>12.200928555198942</c:v>
                </c:pt>
                <c:pt idx="510">
                  <c:v>12.201024143586807</c:v>
                </c:pt>
                <c:pt idx="511">
                  <c:v>12.20121532352519</c:v>
                </c:pt>
                <c:pt idx="512">
                  <c:v>12.20131091501554</c:v>
                </c:pt>
                <c:pt idx="513">
                  <c:v>12.731053384425394</c:v>
                </c:pt>
                <c:pt idx="514">
                  <c:v>12.731154748505674</c:v>
                </c:pt>
                <c:pt idx="515">
                  <c:v>12.73135747985711</c:v>
                </c:pt>
                <c:pt idx="516">
                  <c:v>12.731458847164703</c:v>
                </c:pt>
                <c:pt idx="517">
                  <c:v>13.111306902045129</c:v>
                </c:pt>
                <c:pt idx="518">
                  <c:v>13.111412385034981</c:v>
                </c:pt>
                <c:pt idx="519">
                  <c:v>13.111623354148634</c:v>
                </c:pt>
                <c:pt idx="520">
                  <c:v>13.111728840704444</c:v>
                </c:pt>
                <c:pt idx="521">
                  <c:v>13.311251662888083</c:v>
                </c:pt>
                <c:pt idx="522">
                  <c:v>13.311359302209553</c:v>
                </c:pt>
                <c:pt idx="523">
                  <c:v>13.311574584534696</c:v>
                </c:pt>
                <c:pt idx="524">
                  <c:v>13.311682227279505</c:v>
                </c:pt>
                <c:pt idx="525">
                  <c:v>13.71497365682967</c:v>
                </c:pt>
                <c:pt idx="526">
                  <c:v>13.715085629245266</c:v>
                </c:pt>
                <c:pt idx="527">
                  <c:v>13.71530957743704</c:v>
                </c:pt>
                <c:pt idx="528">
                  <c:v>13.715421553307749</c:v>
                </c:pt>
                <c:pt idx="529">
                  <c:v>14.335542590162731</c:v>
                </c:pt>
                <c:pt idx="530">
                  <c:v>14.335661163472196</c:v>
                </c:pt>
                <c:pt idx="531">
                  <c:v>14.33589831356619</c:v>
                </c:pt>
                <c:pt idx="532">
                  <c:v>14.336016890775795</c:v>
                </c:pt>
                <c:pt idx="533">
                  <c:v>14.992474193405599</c:v>
                </c:pt>
                <c:pt idx="534">
                  <c:v>14.992599671668188</c:v>
                </c:pt>
                <c:pt idx="535">
                  <c:v>14.992850632284615</c:v>
                </c:pt>
                <c:pt idx="536">
                  <c:v>14.992976114425005</c:v>
                </c:pt>
                <c:pt idx="537">
                  <c:v>15.462815830427473</c:v>
                </c:pt>
                <c:pt idx="538">
                  <c:v>15.462946198782163</c:v>
                </c:pt>
                <c:pt idx="539">
                  <c:v>15.463206939409133</c:v>
                </c:pt>
                <c:pt idx="540">
                  <c:v>15.463337311816019</c:v>
                </c:pt>
                <c:pt idx="541">
                  <c:v>15.709824712792113</c:v>
                </c:pt>
                <c:pt idx="542">
                  <c:v>15.709957631047871</c:v>
                </c:pt>
                <c:pt idx="543">
                  <c:v>15.710223471810934</c:v>
                </c:pt>
                <c:pt idx="544">
                  <c:v>15.710356394260316</c:v>
                </c:pt>
                <c:pt idx="545">
                  <c:v>16.207917600414589</c:v>
                </c:pt>
                <c:pt idx="546">
                  <c:v>16.208055622869836</c:v>
                </c:pt>
                <c:pt idx="547">
                  <c:v>16.20833167206672</c:v>
                </c:pt>
                <c:pt idx="548">
                  <c:v>16.208469699011403</c:v>
                </c:pt>
                <c:pt idx="549">
                  <c:v>16.971798499389763</c:v>
                </c:pt>
                <c:pt idx="550">
                  <c:v>16.971944252311857</c:v>
                </c:pt>
                <c:pt idx="551">
                  <c:v>16.972235762007131</c:v>
                </c:pt>
                <c:pt idx="552">
                  <c:v>16.972381519386886</c:v>
                </c:pt>
                <c:pt idx="553">
                  <c:v>17.778123013326933</c:v>
                </c:pt>
                <c:pt idx="554">
                  <c:v>17.778276800438562</c:v>
                </c:pt>
                <c:pt idx="555">
                  <c:v>17.778584378990786</c:v>
                </c:pt>
                <c:pt idx="556">
                  <c:v>17.778738170722534</c:v>
                </c:pt>
                <c:pt idx="557">
                  <c:v>18.353976375550872</c:v>
                </c:pt>
                <c:pt idx="558">
                  <c:v>18.354135823875595</c:v>
                </c:pt>
                <c:pt idx="559">
                  <c:v>18.354454725084281</c:v>
                </c:pt>
                <c:pt idx="560">
                  <c:v>18.354614178047427</c:v>
                </c:pt>
                <c:pt idx="561">
                  <c:v>18.655919932808047</c:v>
                </c:pt>
                <c:pt idx="562">
                  <c:v>18.65608232463228</c:v>
                </c:pt>
                <c:pt idx="563">
                  <c:v>18.656407113013074</c:v>
                </c:pt>
                <c:pt idx="564">
                  <c:v>18.656569509500059</c:v>
                </c:pt>
                <c:pt idx="565">
                  <c:v>19.263807267966683</c:v>
                </c:pt>
                <c:pt idx="566">
                  <c:v>19.263975535204167</c:v>
                </c:pt>
                <c:pt idx="567">
                  <c:v>19.264312074423401</c:v>
                </c:pt>
                <c:pt idx="568">
                  <c:v>19.26448034649917</c:v>
                </c:pt>
                <c:pt idx="569">
                  <c:v>20.193586068967363</c:v>
                </c:pt>
                <c:pt idx="570">
                  <c:v>20.193763195627639</c:v>
                </c:pt>
                <c:pt idx="571">
                  <c:v>20.194117453988042</c:v>
                </c:pt>
                <c:pt idx="572">
                  <c:v>20.194294585566581</c:v>
                </c:pt>
                <c:pt idx="573">
                  <c:v>21.171889350173444</c:v>
                </c:pt>
                <c:pt idx="574">
                  <c:v>21.172075640493404</c:v>
                </c:pt>
                <c:pt idx="575">
                  <c:v>21.172448226047379</c:v>
                </c:pt>
                <c:pt idx="576">
                  <c:v>21.172634521384396</c:v>
                </c:pt>
                <c:pt idx="577">
                  <c:v>21.868677845652883</c:v>
                </c:pt>
                <c:pt idx="578">
                  <c:v>21.868870568424711</c:v>
                </c:pt>
                <c:pt idx="579">
                  <c:v>21.869256018965359</c:v>
                </c:pt>
                <c:pt idx="580">
                  <c:v>21.869448746774992</c:v>
                </c:pt>
                <c:pt idx="581">
                  <c:v>22.233426527768927</c:v>
                </c:pt>
                <c:pt idx="582">
                  <c:v>22.233622587445439</c:v>
                </c:pt>
                <c:pt idx="583">
                  <c:v>22.234014712131284</c:v>
                </c:pt>
                <c:pt idx="584">
                  <c:v>22.234210777067744</c:v>
                </c:pt>
                <c:pt idx="585">
                  <c:v>22.966531658767565</c:v>
                </c:pt>
                <c:pt idx="586">
                  <c:v>22.966734365066714</c:v>
                </c:pt>
                <c:pt idx="587">
                  <c:v>22.96713978276432</c:v>
                </c:pt>
                <c:pt idx="588">
                  <c:v>22.967342494291245</c:v>
                </c:pt>
                <c:pt idx="589">
                  <c:v>24.08479398634023</c:v>
                </c:pt>
                <c:pt idx="590">
                  <c:v>24.085006681243556</c:v>
                </c:pt>
                <c:pt idx="591">
                  <c:v>24.085432076937991</c:v>
                </c:pt>
                <c:pt idx="592">
                  <c:v>24.08564477778117</c:v>
                </c:pt>
                <c:pt idx="593">
                  <c:v>25.257661568599076</c:v>
                </c:pt>
                <c:pt idx="594">
                  <c:v>25.257884556655142</c:v>
                </c:pt>
                <c:pt idx="595">
                  <c:v>25.258330538055986</c:v>
                </c:pt>
                <c:pt idx="596">
                  <c:v>25.258553531656105</c:v>
                </c:pt>
                <c:pt idx="597">
                  <c:v>26.090808378855172</c:v>
                </c:pt>
                <c:pt idx="598">
                  <c:v>26.091038570293676</c:v>
                </c:pt>
                <c:pt idx="599">
                  <c:v>26.091498958785849</c:v>
                </c:pt>
                <c:pt idx="600">
                  <c:v>26.091729156303586</c:v>
                </c:pt>
                <c:pt idx="601">
                  <c:v>-17.453747909683059</c:v>
                </c:pt>
                <c:pt idx="602">
                  <c:v>-17.453497616223729</c:v>
                </c:pt>
                <c:pt idx="603">
                  <c:v>-17.452997037083314</c:v>
                </c:pt>
                <c:pt idx="604">
                  <c:v>-17.452746751127052</c:v>
                </c:pt>
                <c:pt idx="605">
                  <c:v>-16.550507042348222</c:v>
                </c:pt>
                <c:pt idx="606">
                  <c:v>-16.550266029376161</c:v>
                </c:pt>
                <c:pt idx="607">
                  <c:v>-16.549784011539678</c:v>
                </c:pt>
                <c:pt idx="608">
                  <c:v>-16.549543006465342</c:v>
                </c:pt>
                <c:pt idx="609">
                  <c:v>-15.288598877534376</c:v>
                </c:pt>
                <c:pt idx="610">
                  <c:v>-15.288371125356448</c:v>
                </c:pt>
                <c:pt idx="611">
                  <c:v>-15.287915628169628</c:v>
                </c:pt>
                <c:pt idx="612">
                  <c:v>-15.287687883553531</c:v>
                </c:pt>
                <c:pt idx="613">
                  <c:v>-14.097038236232549</c:v>
                </c:pt>
                <c:pt idx="614">
                  <c:v>-14.096823352320541</c:v>
                </c:pt>
                <c:pt idx="615">
                  <c:v>-14.096393591333694</c:v>
                </c:pt>
                <c:pt idx="616">
                  <c:v>-14.096178714540208</c:v>
                </c:pt>
                <c:pt idx="617">
                  <c:v>-13.322680282579654</c:v>
                </c:pt>
                <c:pt idx="618">
                  <c:v>-13.322473960616321</c:v>
                </c:pt>
                <c:pt idx="619">
                  <c:v>-13.32206132325723</c:v>
                </c:pt>
                <c:pt idx="620">
                  <c:v>-13.32185500817053</c:v>
                </c:pt>
                <c:pt idx="621">
                  <c:v>-12.939575117438586</c:v>
                </c:pt>
                <c:pt idx="622">
                  <c:v>-12.939373093653337</c:v>
                </c:pt>
                <c:pt idx="623">
                  <c:v>-12.938969053698422</c:v>
                </c:pt>
                <c:pt idx="624">
                  <c:v>-12.938767037097421</c:v>
                </c:pt>
                <c:pt idx="625">
                  <c:v>-12.211998958052177</c:v>
                </c:pt>
                <c:pt idx="626">
                  <c:v>-12.211805220416892</c:v>
                </c:pt>
                <c:pt idx="627">
                  <c:v>-12.211417751389931</c:v>
                </c:pt>
                <c:pt idx="628">
                  <c:v>-12.211224020116035</c:v>
                </c:pt>
                <c:pt idx="629">
                  <c:v>-11.2007285677822</c:v>
                </c:pt>
                <c:pt idx="630">
                  <c:v>-11.200546633029695</c:v>
                </c:pt>
                <c:pt idx="631">
                  <c:v>-11.200182770135491</c:v>
                </c:pt>
                <c:pt idx="632">
                  <c:v>-11.200000842025617</c:v>
                </c:pt>
                <c:pt idx="633">
                  <c:v>-10.251958694233799</c:v>
                </c:pt>
                <c:pt idx="634">
                  <c:v>-10.251788170351972</c:v>
                </c:pt>
                <c:pt idx="635">
                  <c:v>-10.251447129128984</c:v>
                </c:pt>
                <c:pt idx="636">
                  <c:v>-10.251276611536412</c:v>
                </c:pt>
                <c:pt idx="637">
                  <c:v>-9.6388890362544615</c:v>
                </c:pt>
                <c:pt idx="638">
                  <c:v>-9.6387260790225184</c:v>
                </c:pt>
                <c:pt idx="639">
                  <c:v>-9.6384001713793737</c:v>
                </c:pt>
                <c:pt idx="640">
                  <c:v>-9.6382372204702875</c:v>
                </c:pt>
                <c:pt idx="641">
                  <c:v>-9.3366781477045038</c:v>
                </c:pt>
                <c:pt idx="642">
                  <c:v>-9.3365189814514764</c:v>
                </c:pt>
                <c:pt idx="643">
                  <c:v>-9.3362006552918899</c:v>
                </c:pt>
                <c:pt idx="644">
                  <c:v>-9.3360414950000532</c:v>
                </c:pt>
                <c:pt idx="645">
                  <c:v>-8.7648636647747367</c:v>
                </c:pt>
                <c:pt idx="646">
                  <c:v>-8.7647117889014794</c:v>
                </c:pt>
                <c:pt idx="647">
                  <c:v>-8.7644080434978306</c:v>
                </c:pt>
                <c:pt idx="648">
                  <c:v>-8.7642561737297839</c:v>
                </c:pt>
                <c:pt idx="649">
                  <c:v>-7.9750852525643268</c:v>
                </c:pt>
                <c:pt idx="650">
                  <c:v>-7.9749437225111279</c:v>
                </c:pt>
                <c:pt idx="651">
                  <c:v>-7.9746606685954902</c:v>
                </c:pt>
                <c:pt idx="652">
                  <c:v>-7.9745191444613823</c:v>
                </c:pt>
                <c:pt idx="653">
                  <c:v>-7.2399602122610602</c:v>
                </c:pt>
                <c:pt idx="654">
                  <c:v>-7.2398286362456545</c:v>
                </c:pt>
                <c:pt idx="655">
                  <c:v>-7.2395654890569503</c:v>
                </c:pt>
                <c:pt idx="656">
                  <c:v>-7.2394339183200955</c:v>
                </c:pt>
                <c:pt idx="657">
                  <c:v>-6.7682755633804064</c:v>
                </c:pt>
                <c:pt idx="658">
                  <c:v>-6.7681505590560178</c:v>
                </c:pt>
                <c:pt idx="659">
                  <c:v>-6.7679005547221678</c:v>
                </c:pt>
                <c:pt idx="660">
                  <c:v>-6.7677755554977281</c:v>
                </c:pt>
                <c:pt idx="661">
                  <c:v>-6.5368024098838404</c:v>
                </c:pt>
                <c:pt idx="662">
                  <c:v>-6.5366806880663049</c:v>
                </c:pt>
                <c:pt idx="663">
                  <c:v>-6.5364372501406436</c:v>
                </c:pt>
                <c:pt idx="664">
                  <c:v>-6.5363155338580299</c:v>
                </c:pt>
                <c:pt idx="665">
                  <c:v>-6.1008462250133135</c:v>
                </c:pt>
                <c:pt idx="666">
                  <c:v>-6.1007307985614077</c:v>
                </c:pt>
                <c:pt idx="667">
                  <c:v>-6.1004999508216571</c:v>
                </c:pt>
                <c:pt idx="668">
                  <c:v>-6.1003845298238275</c:v>
                </c:pt>
                <c:pt idx="669">
                  <c:v>-5.5034135029606048</c:v>
                </c:pt>
                <c:pt idx="670">
                  <c:v>-5.5033069650014355</c:v>
                </c:pt>
                <c:pt idx="671">
                  <c:v>-5.5030938946205836</c:v>
                </c:pt>
                <c:pt idx="672">
                  <c:v>-5.5029873614953999</c:v>
                </c:pt>
                <c:pt idx="673">
                  <c:v>-4.9527868865035956</c:v>
                </c:pt>
                <c:pt idx="674">
                  <c:v>-4.952688844889984</c:v>
                </c:pt>
                <c:pt idx="675">
                  <c:v>-4.9524927663053191</c:v>
                </c:pt>
                <c:pt idx="676">
                  <c:v>-4.9523947292367296</c:v>
                </c:pt>
                <c:pt idx="677">
                  <c:v>-4.6025836459001397</c:v>
                </c:pt>
                <c:pt idx="678">
                  <c:v>-4.6024911806678759</c:v>
                </c:pt>
                <c:pt idx="679">
                  <c:v>-4.6023062548945575</c:v>
                </c:pt>
                <c:pt idx="680">
                  <c:v>-4.6022137944951496</c:v>
                </c:pt>
                <c:pt idx="681">
                  <c:v>-4.4316915281913651</c:v>
                </c:pt>
                <c:pt idx="682">
                  <c:v>-4.4316018383219316</c:v>
                </c:pt>
                <c:pt idx="683">
                  <c:v>-4.4314224624946306</c:v>
                </c:pt>
                <c:pt idx="684">
                  <c:v>-4.4313327770110718</c:v>
                </c:pt>
                <c:pt idx="685">
                  <c:v>-4.1116899613041369</c:v>
                </c:pt>
                <c:pt idx="686">
                  <c:v>-4.1116055713691395</c:v>
                </c:pt>
                <c:pt idx="687">
                  <c:v>-4.1114367959587668</c:v>
                </c:pt>
                <c:pt idx="688">
                  <c:v>-4.1113524102250878</c:v>
                </c:pt>
                <c:pt idx="689">
                  <c:v>-3.6774562137348141</c:v>
                </c:pt>
                <c:pt idx="690">
                  <c:v>-3.6773792552279048</c:v>
                </c:pt>
                <c:pt idx="691">
                  <c:v>-3.6772253419689775</c:v>
                </c:pt>
                <c:pt idx="692">
                  <c:v>-3.6771483871636192</c:v>
                </c:pt>
                <c:pt idx="693">
                  <c:v>-3.2821812016730263</c:v>
                </c:pt>
                <c:pt idx="694">
                  <c:v>-3.2821112814386169</c:v>
                </c:pt>
                <c:pt idx="695">
                  <c:v>-3.2819714460380851</c:v>
                </c:pt>
                <c:pt idx="696">
                  <c:v>-3.2819015300094208</c:v>
                </c:pt>
                <c:pt idx="697">
                  <c:v>-3.0335554983161757</c:v>
                </c:pt>
                <c:pt idx="698">
                  <c:v>-3.0334901602824971</c:v>
                </c:pt>
                <c:pt idx="699">
                  <c:v>-3.0333594868576057</c:v>
                </c:pt>
                <c:pt idx="700">
                  <c:v>-3.033294151982318</c:v>
                </c:pt>
                <c:pt idx="701">
                  <c:v>-2.9130875827718654</c:v>
                </c:pt>
                <c:pt idx="702">
                  <c:v>-2.913024511233985</c:v>
                </c:pt>
                <c:pt idx="703">
                  <c:v>-2.91289837246633</c:v>
                </c:pt>
                <c:pt idx="704">
                  <c:v>-2.9128353048036502</c:v>
                </c:pt>
                <c:pt idx="705">
                  <c:v>-2.6891366958665373</c:v>
                </c:pt>
                <c:pt idx="706">
                  <c:v>-2.6890779294130596</c:v>
                </c:pt>
                <c:pt idx="707">
                  <c:v>-2.6889604001787433</c:v>
                </c:pt>
                <c:pt idx="708">
                  <c:v>-2.6889016376997574</c:v>
                </c:pt>
                <c:pt idx="709">
                  <c:v>-2.3889548449417077</c:v>
                </c:pt>
                <c:pt idx="710">
                  <c:v>-2.3889020524201925</c:v>
                </c:pt>
                <c:pt idx="711">
                  <c:v>-2.3887964708041665</c:v>
                </c:pt>
                <c:pt idx="712">
                  <c:v>-2.3887436813213441</c:v>
                </c:pt>
                <c:pt idx="713">
                  <c:v>-2.0260082736284204</c:v>
                </c:pt>
                <c:pt idx="714">
                  <c:v>-2.0259614687173126</c:v>
                </c:pt>
                <c:pt idx="715">
                  <c:v>-2.0258678615951453</c:v>
                </c:pt>
                <c:pt idx="716">
                  <c:v>-2.0258210594187886</c:v>
                </c:pt>
                <c:pt idx="717">
                  <c:v>-1.8605634810491694</c:v>
                </c:pt>
                <c:pt idx="718">
                  <c:v>-1.8605202742061522</c:v>
                </c:pt>
                <c:pt idx="719">
                  <c:v>-1.8604338630055395</c:v>
                </c:pt>
                <c:pt idx="720">
                  <c:v>-1.8603906586416059</c:v>
                </c:pt>
                <c:pt idx="721">
                  <c:v>-1.7811600292319554</c:v>
                </c:pt>
                <c:pt idx="722">
                  <c:v>-1.7811185967051841</c:v>
                </c:pt>
                <c:pt idx="723">
                  <c:v>-1.7810357343096683</c:v>
                </c:pt>
                <c:pt idx="724">
                  <c:v>-1.7809943044887575</c:v>
                </c:pt>
                <c:pt idx="725">
                  <c:v>-1.6350265077497141</c:v>
                </c:pt>
                <c:pt idx="726">
                  <c:v>-1.6349884316771437</c:v>
                </c:pt>
                <c:pt idx="727">
                  <c:v>-1.6349122822588242</c:v>
                </c:pt>
                <c:pt idx="728">
                  <c:v>-1.6348742089653854</c:v>
                </c:pt>
                <c:pt idx="729">
                  <c:v>-1.4426077049782577</c:v>
                </c:pt>
                <c:pt idx="730">
                  <c:v>-1.4425742559158579</c:v>
                </c:pt>
                <c:pt idx="731">
                  <c:v>-1.4425073603408407</c:v>
                </c:pt>
                <c:pt idx="732">
                  <c:v>-1.4424739136257472</c:v>
                </c:pt>
                <c:pt idx="733">
                  <c:v>-1.2741811270630308</c:v>
                </c:pt>
                <c:pt idx="734">
                  <c:v>-1.2741519622515227</c:v>
                </c:pt>
                <c:pt idx="735">
                  <c:v>-1.274093634775042</c:v>
                </c:pt>
                <c:pt idx="736">
                  <c:v>-1.2740644722801449</c:v>
                </c:pt>
                <c:pt idx="737">
                  <c:v>-1.1720034931996821</c:v>
                </c:pt>
                <c:pt idx="738">
                  <c:v>-1.1719770571991859</c:v>
                </c:pt>
                <c:pt idx="739">
                  <c:v>-1.1719241871520154</c:v>
                </c:pt>
                <c:pt idx="740">
                  <c:v>-1.1718977533092954</c:v>
                </c:pt>
                <c:pt idx="741">
                  <c:v>-1.1236531234841181</c:v>
                </c:pt>
                <c:pt idx="742">
                  <c:v>-1.123628017976543</c:v>
                </c:pt>
                <c:pt idx="743">
                  <c:v>-1.1235778096319962</c:v>
                </c:pt>
                <c:pt idx="744">
                  <c:v>-1.1235527065516067</c:v>
                </c:pt>
                <c:pt idx="745">
                  <c:v>-1.0359591834650246</c:v>
                </c:pt>
                <c:pt idx="746">
                  <c:v>-1.0359365656608048</c:v>
                </c:pt>
                <c:pt idx="747">
                  <c:v>-1.035891331628136</c:v>
                </c:pt>
                <c:pt idx="748">
                  <c:v>-1.0358687156091975</c:v>
                </c:pt>
                <c:pt idx="749">
                  <c:v>-0.92335066084295647</c:v>
                </c:pt>
                <c:pt idx="750">
                  <c:v>-0.92333139688666677</c:v>
                </c:pt>
                <c:pt idx="751">
                  <c:v>-0.92329287072838895</c:v>
                </c:pt>
                <c:pt idx="752">
                  <c:v>-0.92327360843579243</c:v>
                </c:pt>
                <c:pt idx="753">
                  <c:v>-0.82787980915625781</c:v>
                </c:pt>
                <c:pt idx="754">
                  <c:v>-0.82786355670211265</c:v>
                </c:pt>
                <c:pt idx="755">
                  <c:v>-0.82783105274488378</c:v>
                </c:pt>
                <c:pt idx="756">
                  <c:v>-0.82781480160026888</c:v>
                </c:pt>
                <c:pt idx="757">
                  <c:v>-0.77158360572373397</c:v>
                </c:pt>
                <c:pt idx="758">
                  <c:v>-0.77156921243970089</c:v>
                </c:pt>
                <c:pt idx="759">
                  <c:v>-0.77154042715109483</c:v>
                </c:pt>
                <c:pt idx="760">
                  <c:v>-0.77152603559292743</c:v>
                </c:pt>
                <c:pt idx="761">
                  <c:v>-0.74541448444678338</c:v>
                </c:pt>
                <c:pt idx="762">
                  <c:v>-0.74540097834531593</c:v>
                </c:pt>
                <c:pt idx="763">
                  <c:v>-0.74537396771287945</c:v>
                </c:pt>
                <c:pt idx="764">
                  <c:v>-0.74536046305622961</c:v>
                </c:pt>
                <c:pt idx="765">
                  <c:v>-0.69877436539515259</c:v>
                </c:pt>
                <c:pt idx="766">
                  <c:v>-0.6987624772902592</c:v>
                </c:pt>
                <c:pt idx="767">
                  <c:v>-0.69873870257440274</c:v>
                </c:pt>
                <c:pt idx="768">
                  <c:v>-0.69872681607614595</c:v>
                </c:pt>
                <c:pt idx="769">
                  <c:v>-0.64051666305040555</c:v>
                </c:pt>
                <c:pt idx="770">
                  <c:v>-0.64050685600939516</c:v>
                </c:pt>
                <c:pt idx="771">
                  <c:v>-0.64048724318935513</c:v>
                </c:pt>
                <c:pt idx="772">
                  <c:v>-0.64047743717473793</c:v>
                </c:pt>
                <c:pt idx="773">
                  <c:v>-0.59254204002624533</c:v>
                </c:pt>
                <c:pt idx="774">
                  <c:v>-0.59253397116475526</c:v>
                </c:pt>
                <c:pt idx="775">
                  <c:v>-0.59251783491976084</c:v>
                </c:pt>
                <c:pt idx="776">
                  <c:v>-0.59250976696381485</c:v>
                </c:pt>
                <c:pt idx="777">
                  <c:v>-0.56474143583292857</c:v>
                </c:pt>
                <c:pt idx="778">
                  <c:v>-0.56473435722759291</c:v>
                </c:pt>
                <c:pt idx="779">
                  <c:v>-0.56472020080438767</c:v>
                </c:pt>
                <c:pt idx="780">
                  <c:v>-0.56471312305070853</c:v>
                </c:pt>
                <c:pt idx="781">
                  <c:v>-0.55188168064481147</c:v>
                </c:pt>
                <c:pt idx="782">
                  <c:v>-0.55187504559798128</c:v>
                </c:pt>
                <c:pt idx="783">
                  <c:v>-0.55186177641193979</c:v>
                </c:pt>
                <c:pt idx="784">
                  <c:v>-0.55185514234416644</c:v>
                </c:pt>
                <c:pt idx="785">
                  <c:v>-0.5289095303316742</c:v>
                </c:pt>
                <c:pt idx="786">
                  <c:v>-0.52890364416650471</c:v>
                </c:pt>
                <c:pt idx="787">
                  <c:v>-0.52889187227775381</c:v>
                </c:pt>
                <c:pt idx="788">
                  <c:v>-0.52888598676150878</c:v>
                </c:pt>
                <c:pt idx="789">
                  <c:v>-0.49954306785744507</c:v>
                </c:pt>
                <c:pt idx="790">
                  <c:v>-0.49953798967968055</c:v>
                </c:pt>
                <c:pt idx="791">
                  <c:v>-0.49952783380118149</c:v>
                </c:pt>
                <c:pt idx="792">
                  <c:v>-0.49952275582498373</c:v>
                </c:pt>
                <c:pt idx="793">
                  <c:v>-0.47360507001894803</c:v>
                </c:pt>
                <c:pt idx="794">
                  <c:v>-0.47360045696433417</c:v>
                </c:pt>
                <c:pt idx="795">
                  <c:v>-0.47359123149519178</c:v>
                </c:pt>
                <c:pt idx="796">
                  <c:v>-0.47358661881867192</c:v>
                </c:pt>
                <c:pt idx="797">
                  <c:v>-0.45691417122856137</c:v>
                </c:pt>
                <c:pt idx="798">
                  <c:v>-0.45690967946123351</c:v>
                </c:pt>
                <c:pt idx="799">
                  <c:v>-0.4569006951537915</c:v>
                </c:pt>
                <c:pt idx="800">
                  <c:v>0</c:v>
                </c:pt>
              </c:numCache>
            </c:numRef>
          </c:yVal>
          <c:smooth val="0"/>
          <c:extLst>
            <c:ext xmlns:c16="http://schemas.microsoft.com/office/drawing/2014/chart" uri="{C3380CC4-5D6E-409C-BE32-E72D297353CC}">
              <c16:uniqueId val="{00000000-7376-4D2E-A2D3-50E742F10DA8}"/>
            </c:ext>
          </c:extLst>
        </c:ser>
        <c:ser>
          <c:idx val="1"/>
          <c:order val="1"/>
          <c:spPr>
            <a:ln w="38100">
              <a:solidFill>
                <a:schemeClr val="tx1"/>
              </a:solidFill>
            </a:ln>
          </c:spPr>
          <c:marker>
            <c:symbol val="none"/>
          </c:marker>
          <c:xVal>
            <c:numRef>
              <c:f>Graphs!$O$6:$O$805</c:f>
              <c:numCache>
                <c:formatCode>General</c:formatCode>
                <c:ptCount val="800"/>
                <c:pt idx="0">
                  <c:v>0</c:v>
                </c:pt>
                <c:pt idx="1">
                  <c:v>0.19572697508833226</c:v>
                </c:pt>
                <c:pt idx="2">
                  <c:v>0.19593604008833229</c:v>
                </c:pt>
                <c:pt idx="3">
                  <c:v>0.19635417008833225</c:v>
                </c:pt>
                <c:pt idx="4">
                  <c:v>0.19656323508833229</c:v>
                </c:pt>
                <c:pt idx="5">
                  <c:v>0.96448100682755367</c:v>
                </c:pt>
                <c:pt idx="6">
                  <c:v>0.96469007182755373</c:v>
                </c:pt>
                <c:pt idx="7">
                  <c:v>0.96510820182755364</c:v>
                </c:pt>
                <c:pt idx="8">
                  <c:v>0.9653172668275537</c:v>
                </c:pt>
                <c:pt idx="9">
                  <c:v>2.0902318700000002</c:v>
                </c:pt>
                <c:pt idx="10">
                  <c:v>2.0904409350000002</c:v>
                </c:pt>
                <c:pt idx="11">
                  <c:v>2.0908590650000001</c:v>
                </c:pt>
                <c:pt idx="12">
                  <c:v>2.09106813</c:v>
                </c:pt>
                <c:pt idx="13">
                  <c:v>3.2159827331724471</c:v>
                </c:pt>
                <c:pt idx="14">
                  <c:v>3.216191798172447</c:v>
                </c:pt>
                <c:pt idx="15">
                  <c:v>3.216609928172447</c:v>
                </c:pt>
                <c:pt idx="16">
                  <c:v>3.2168189931724469</c:v>
                </c:pt>
                <c:pt idx="17">
                  <c:v>3.9847367649116681</c:v>
                </c:pt>
                <c:pt idx="18">
                  <c:v>3.984945829911668</c:v>
                </c:pt>
                <c:pt idx="19">
                  <c:v>3.9853639599116679</c:v>
                </c:pt>
                <c:pt idx="20">
                  <c:v>3.9855730249116679</c:v>
                </c:pt>
                <c:pt idx="21">
                  <c:v>4.3770269750883326</c:v>
                </c:pt>
                <c:pt idx="22">
                  <c:v>4.3772360400883326</c:v>
                </c:pt>
                <c:pt idx="23">
                  <c:v>4.3776541700883325</c:v>
                </c:pt>
                <c:pt idx="24">
                  <c:v>4.3778632350883324</c:v>
                </c:pt>
                <c:pt idx="25">
                  <c:v>5.145781006827554</c:v>
                </c:pt>
                <c:pt idx="26">
                  <c:v>5.145990071827554</c:v>
                </c:pt>
                <c:pt idx="27">
                  <c:v>5.1464082018275539</c:v>
                </c:pt>
                <c:pt idx="28">
                  <c:v>5.1466172668275538</c:v>
                </c:pt>
                <c:pt idx="29">
                  <c:v>6.2715318700000005</c:v>
                </c:pt>
                <c:pt idx="30">
                  <c:v>6.2717409350000004</c:v>
                </c:pt>
                <c:pt idx="31">
                  <c:v>6.2721590650000003</c:v>
                </c:pt>
                <c:pt idx="32">
                  <c:v>6.2723681300000003</c:v>
                </c:pt>
                <c:pt idx="33">
                  <c:v>7.3972827331724469</c:v>
                </c:pt>
                <c:pt idx="34">
                  <c:v>7.3974917981724468</c:v>
                </c:pt>
                <c:pt idx="35">
                  <c:v>7.3979099281724467</c:v>
                </c:pt>
                <c:pt idx="36">
                  <c:v>7.3981189931724467</c:v>
                </c:pt>
                <c:pt idx="37">
                  <c:v>8.1660367649116683</c:v>
                </c:pt>
                <c:pt idx="38">
                  <c:v>8.1662458299116683</c:v>
                </c:pt>
                <c:pt idx="39">
                  <c:v>8.1666639599116682</c:v>
                </c:pt>
                <c:pt idx="40">
                  <c:v>8.1668730249116681</c:v>
                </c:pt>
                <c:pt idx="41">
                  <c:v>8.5583269750883328</c:v>
                </c:pt>
                <c:pt idx="42">
                  <c:v>8.5585360400883328</c:v>
                </c:pt>
                <c:pt idx="43">
                  <c:v>8.5589541700883327</c:v>
                </c:pt>
                <c:pt idx="44">
                  <c:v>8.5591632350883327</c:v>
                </c:pt>
                <c:pt idx="45">
                  <c:v>9.3270810068275534</c:v>
                </c:pt>
                <c:pt idx="46">
                  <c:v>9.3272900718275533</c:v>
                </c:pt>
                <c:pt idx="47">
                  <c:v>9.3277082018275532</c:v>
                </c:pt>
                <c:pt idx="48">
                  <c:v>9.3279172668275532</c:v>
                </c:pt>
                <c:pt idx="49">
                  <c:v>10.452831870000001</c:v>
                </c:pt>
                <c:pt idx="50">
                  <c:v>10.453040935000001</c:v>
                </c:pt>
                <c:pt idx="51">
                  <c:v>10.453459065000001</c:v>
                </c:pt>
                <c:pt idx="52">
                  <c:v>10.453668130000001</c:v>
                </c:pt>
                <c:pt idx="53">
                  <c:v>11.578582733172446</c:v>
                </c:pt>
                <c:pt idx="54">
                  <c:v>11.578791798172446</c:v>
                </c:pt>
                <c:pt idx="55">
                  <c:v>11.579209928172446</c:v>
                </c:pt>
                <c:pt idx="56">
                  <c:v>11.579418993172446</c:v>
                </c:pt>
                <c:pt idx="57">
                  <c:v>12.347336764911669</c:v>
                </c:pt>
                <c:pt idx="58">
                  <c:v>12.347545829911668</c:v>
                </c:pt>
                <c:pt idx="59">
                  <c:v>12.347963959911668</c:v>
                </c:pt>
                <c:pt idx="60">
                  <c:v>12.348173024911668</c:v>
                </c:pt>
                <c:pt idx="61">
                  <c:v>12.739626975088333</c:v>
                </c:pt>
                <c:pt idx="62">
                  <c:v>12.739836040088333</c:v>
                </c:pt>
                <c:pt idx="63">
                  <c:v>12.740254170088333</c:v>
                </c:pt>
                <c:pt idx="64">
                  <c:v>12.740463235088333</c:v>
                </c:pt>
                <c:pt idx="65">
                  <c:v>13.508381006827554</c:v>
                </c:pt>
                <c:pt idx="66">
                  <c:v>13.508590071827554</c:v>
                </c:pt>
                <c:pt idx="67">
                  <c:v>13.509008201827553</c:v>
                </c:pt>
                <c:pt idx="68">
                  <c:v>13.509217266827553</c:v>
                </c:pt>
                <c:pt idx="69">
                  <c:v>14.634131869999999</c:v>
                </c:pt>
                <c:pt idx="70">
                  <c:v>14.634340934999999</c:v>
                </c:pt>
                <c:pt idx="71">
                  <c:v>14.634759064999999</c:v>
                </c:pt>
                <c:pt idx="72">
                  <c:v>14.634968129999999</c:v>
                </c:pt>
                <c:pt idx="73">
                  <c:v>15.759882733172446</c:v>
                </c:pt>
                <c:pt idx="74">
                  <c:v>15.760091798172446</c:v>
                </c:pt>
                <c:pt idx="75">
                  <c:v>15.760509928172446</c:v>
                </c:pt>
                <c:pt idx="76">
                  <c:v>15.760718993172446</c:v>
                </c:pt>
                <c:pt idx="77">
                  <c:v>16.528636764911667</c:v>
                </c:pt>
                <c:pt idx="78">
                  <c:v>16.528845829911667</c:v>
                </c:pt>
                <c:pt idx="79">
                  <c:v>16.529263959911667</c:v>
                </c:pt>
                <c:pt idx="80">
                  <c:v>16.529473024911667</c:v>
                </c:pt>
                <c:pt idx="81">
                  <c:v>16.920926975088335</c:v>
                </c:pt>
                <c:pt idx="82">
                  <c:v>16.921136040088335</c:v>
                </c:pt>
                <c:pt idx="83">
                  <c:v>16.921554170088335</c:v>
                </c:pt>
                <c:pt idx="84">
                  <c:v>16.921763235088335</c:v>
                </c:pt>
                <c:pt idx="85">
                  <c:v>17.689681006827556</c:v>
                </c:pt>
                <c:pt idx="86">
                  <c:v>17.689890071827556</c:v>
                </c:pt>
                <c:pt idx="87">
                  <c:v>17.690308201827555</c:v>
                </c:pt>
                <c:pt idx="88">
                  <c:v>17.690517266827555</c:v>
                </c:pt>
                <c:pt idx="89">
                  <c:v>18.815431870000001</c:v>
                </c:pt>
                <c:pt idx="90">
                  <c:v>18.815640935000001</c:v>
                </c:pt>
                <c:pt idx="91">
                  <c:v>18.816059065000001</c:v>
                </c:pt>
                <c:pt idx="92">
                  <c:v>18.816268130000001</c:v>
                </c:pt>
                <c:pt idx="93">
                  <c:v>19.94118273317245</c:v>
                </c:pt>
                <c:pt idx="94">
                  <c:v>19.94139179817245</c:v>
                </c:pt>
                <c:pt idx="95">
                  <c:v>19.94180992817245</c:v>
                </c:pt>
                <c:pt idx="96">
                  <c:v>19.94201899317245</c:v>
                </c:pt>
                <c:pt idx="97">
                  <c:v>20.709936764911671</c:v>
                </c:pt>
                <c:pt idx="98">
                  <c:v>20.710145829911671</c:v>
                </c:pt>
                <c:pt idx="99">
                  <c:v>20.710563959911671</c:v>
                </c:pt>
                <c:pt idx="100">
                  <c:v>20.710773024911671</c:v>
                </c:pt>
                <c:pt idx="101">
                  <c:v>21.102226975088332</c:v>
                </c:pt>
                <c:pt idx="102">
                  <c:v>21.102436040088332</c:v>
                </c:pt>
                <c:pt idx="103">
                  <c:v>21.102854170088332</c:v>
                </c:pt>
                <c:pt idx="104">
                  <c:v>21.103063235088332</c:v>
                </c:pt>
                <c:pt idx="105">
                  <c:v>21.870981006827552</c:v>
                </c:pt>
                <c:pt idx="106">
                  <c:v>21.871190071827552</c:v>
                </c:pt>
                <c:pt idx="107">
                  <c:v>21.871608201827556</c:v>
                </c:pt>
                <c:pt idx="108">
                  <c:v>21.871817266827552</c:v>
                </c:pt>
                <c:pt idx="109">
                  <c:v>22.996731870000001</c:v>
                </c:pt>
                <c:pt idx="110">
                  <c:v>22.996940934999998</c:v>
                </c:pt>
                <c:pt idx="111">
                  <c:v>22.997359065000001</c:v>
                </c:pt>
                <c:pt idx="112">
                  <c:v>22.997568130000001</c:v>
                </c:pt>
                <c:pt idx="113">
                  <c:v>24.122482733172447</c:v>
                </c:pt>
                <c:pt idx="114">
                  <c:v>24.122691798172443</c:v>
                </c:pt>
                <c:pt idx="115">
                  <c:v>24.12310992817245</c:v>
                </c:pt>
                <c:pt idx="116">
                  <c:v>24.123318993172447</c:v>
                </c:pt>
                <c:pt idx="117">
                  <c:v>24.891236764911667</c:v>
                </c:pt>
                <c:pt idx="118">
                  <c:v>24.891445829911664</c:v>
                </c:pt>
                <c:pt idx="119">
                  <c:v>24.891863959911671</c:v>
                </c:pt>
                <c:pt idx="120">
                  <c:v>24.892073024911667</c:v>
                </c:pt>
                <c:pt idx="121">
                  <c:v>25.283526975088332</c:v>
                </c:pt>
                <c:pt idx="122">
                  <c:v>25.283736040088328</c:v>
                </c:pt>
                <c:pt idx="123">
                  <c:v>25.284154170088332</c:v>
                </c:pt>
                <c:pt idx="124">
                  <c:v>25.284363235088332</c:v>
                </c:pt>
                <c:pt idx="125">
                  <c:v>26.052281006827553</c:v>
                </c:pt>
                <c:pt idx="126">
                  <c:v>26.052490071827549</c:v>
                </c:pt>
                <c:pt idx="127">
                  <c:v>26.052908201827552</c:v>
                </c:pt>
                <c:pt idx="128">
                  <c:v>26.053117266827552</c:v>
                </c:pt>
                <c:pt idx="129">
                  <c:v>27.178031869999998</c:v>
                </c:pt>
                <c:pt idx="130">
                  <c:v>27.178240934999994</c:v>
                </c:pt>
                <c:pt idx="131">
                  <c:v>27.178659065000002</c:v>
                </c:pt>
                <c:pt idx="132">
                  <c:v>27.178868129999998</c:v>
                </c:pt>
                <c:pt idx="133">
                  <c:v>28.303782733172444</c:v>
                </c:pt>
                <c:pt idx="134">
                  <c:v>28.303991798172444</c:v>
                </c:pt>
                <c:pt idx="135">
                  <c:v>28.304409928172447</c:v>
                </c:pt>
                <c:pt idx="136">
                  <c:v>28.304618993172443</c:v>
                </c:pt>
                <c:pt idx="137">
                  <c:v>29.072536764911664</c:v>
                </c:pt>
                <c:pt idx="138">
                  <c:v>29.072745829911664</c:v>
                </c:pt>
                <c:pt idx="139">
                  <c:v>29.073163959911668</c:v>
                </c:pt>
                <c:pt idx="140">
                  <c:v>29.073373024911664</c:v>
                </c:pt>
                <c:pt idx="141">
                  <c:v>29.464826975088332</c:v>
                </c:pt>
                <c:pt idx="142">
                  <c:v>29.465036040088332</c:v>
                </c:pt>
                <c:pt idx="143">
                  <c:v>29.465454170088336</c:v>
                </c:pt>
                <c:pt idx="144">
                  <c:v>29.465663235088332</c:v>
                </c:pt>
                <c:pt idx="145">
                  <c:v>30.233581006827553</c:v>
                </c:pt>
                <c:pt idx="146">
                  <c:v>30.233790071827553</c:v>
                </c:pt>
                <c:pt idx="147">
                  <c:v>30.234208201827556</c:v>
                </c:pt>
                <c:pt idx="148">
                  <c:v>30.234417266827553</c:v>
                </c:pt>
                <c:pt idx="149">
                  <c:v>31.359331870000002</c:v>
                </c:pt>
                <c:pt idx="150">
                  <c:v>31.359540934999998</c:v>
                </c:pt>
                <c:pt idx="151">
                  <c:v>31.359959065000002</c:v>
                </c:pt>
                <c:pt idx="152">
                  <c:v>31.360168130000002</c:v>
                </c:pt>
                <c:pt idx="153">
                  <c:v>32.485082733172447</c:v>
                </c:pt>
                <c:pt idx="154">
                  <c:v>32.485291798172447</c:v>
                </c:pt>
                <c:pt idx="155">
                  <c:v>32.485709928172447</c:v>
                </c:pt>
                <c:pt idx="156">
                  <c:v>32.485918993172447</c:v>
                </c:pt>
                <c:pt idx="157">
                  <c:v>33.253836764911668</c:v>
                </c:pt>
                <c:pt idx="158">
                  <c:v>33.254045829911668</c:v>
                </c:pt>
                <c:pt idx="159">
                  <c:v>33.254463959911668</c:v>
                </c:pt>
                <c:pt idx="160">
                  <c:v>33.254673024911668</c:v>
                </c:pt>
                <c:pt idx="161">
                  <c:v>33.646126975088336</c:v>
                </c:pt>
                <c:pt idx="162">
                  <c:v>33.646336040088336</c:v>
                </c:pt>
                <c:pt idx="163">
                  <c:v>33.646754170088336</c:v>
                </c:pt>
                <c:pt idx="164">
                  <c:v>33.646963235088336</c:v>
                </c:pt>
                <c:pt idx="165">
                  <c:v>34.414881006827557</c:v>
                </c:pt>
                <c:pt idx="166">
                  <c:v>34.415090071827557</c:v>
                </c:pt>
                <c:pt idx="167">
                  <c:v>34.415508201827556</c:v>
                </c:pt>
                <c:pt idx="168">
                  <c:v>34.415717266827556</c:v>
                </c:pt>
                <c:pt idx="169">
                  <c:v>35.540631870000006</c:v>
                </c:pt>
                <c:pt idx="170">
                  <c:v>35.540840934999999</c:v>
                </c:pt>
                <c:pt idx="171">
                  <c:v>35.541259065000006</c:v>
                </c:pt>
                <c:pt idx="172">
                  <c:v>35.541468130000005</c:v>
                </c:pt>
                <c:pt idx="173">
                  <c:v>36.666382733172448</c:v>
                </c:pt>
                <c:pt idx="174">
                  <c:v>36.666591798172448</c:v>
                </c:pt>
                <c:pt idx="175">
                  <c:v>36.667009928172455</c:v>
                </c:pt>
                <c:pt idx="176">
                  <c:v>36.667218993172447</c:v>
                </c:pt>
                <c:pt idx="177">
                  <c:v>37.435136764911668</c:v>
                </c:pt>
                <c:pt idx="178">
                  <c:v>37.435345829911668</c:v>
                </c:pt>
                <c:pt idx="179">
                  <c:v>37.435763959911675</c:v>
                </c:pt>
                <c:pt idx="180">
                  <c:v>37.435973024911668</c:v>
                </c:pt>
                <c:pt idx="181">
                  <c:v>37.827426975088336</c:v>
                </c:pt>
                <c:pt idx="182">
                  <c:v>37.827636040088336</c:v>
                </c:pt>
                <c:pt idx="183">
                  <c:v>37.828054170088343</c:v>
                </c:pt>
                <c:pt idx="184">
                  <c:v>37.828263235088336</c:v>
                </c:pt>
                <c:pt idx="185">
                  <c:v>38.596181006827557</c:v>
                </c:pt>
                <c:pt idx="186">
                  <c:v>38.596390071827557</c:v>
                </c:pt>
                <c:pt idx="187">
                  <c:v>38.596808201827564</c:v>
                </c:pt>
                <c:pt idx="188">
                  <c:v>38.597017266827557</c:v>
                </c:pt>
                <c:pt idx="189">
                  <c:v>39.721931870000006</c:v>
                </c:pt>
                <c:pt idx="190">
                  <c:v>39.722140935000006</c:v>
                </c:pt>
                <c:pt idx="191">
                  <c:v>39.722559065000006</c:v>
                </c:pt>
                <c:pt idx="192">
                  <c:v>39.722768130000006</c:v>
                </c:pt>
                <c:pt idx="193">
                  <c:v>40.847682733172455</c:v>
                </c:pt>
                <c:pt idx="194">
                  <c:v>40.847891798172448</c:v>
                </c:pt>
                <c:pt idx="195">
                  <c:v>40.848309928172455</c:v>
                </c:pt>
                <c:pt idx="196">
                  <c:v>40.848518993172455</c:v>
                </c:pt>
                <c:pt idx="197">
                  <c:v>41.616436764911676</c:v>
                </c:pt>
                <c:pt idx="198">
                  <c:v>41.616645829911668</c:v>
                </c:pt>
                <c:pt idx="199">
                  <c:v>41.617063959911675</c:v>
                </c:pt>
                <c:pt idx="200">
                  <c:v>41.617273024911675</c:v>
                </c:pt>
                <c:pt idx="201">
                  <c:v>41.96279692769884</c:v>
                </c:pt>
                <c:pt idx="202">
                  <c:v>41.962956932699043</c:v>
                </c:pt>
                <c:pt idx="203">
                  <c:v>41.963276942699459</c:v>
                </c:pt>
                <c:pt idx="204">
                  <c:v>41.963436947699662</c:v>
                </c:pt>
                <c:pt idx="205">
                  <c:v>42.551152171316382</c:v>
                </c:pt>
                <c:pt idx="206">
                  <c:v>42.551312176316586</c:v>
                </c:pt>
                <c:pt idx="207">
                  <c:v>42.551632186317001</c:v>
                </c:pt>
                <c:pt idx="208">
                  <c:v>42.551792191317205</c:v>
                </c:pt>
                <c:pt idx="209">
                  <c:v>43.412729992060953</c:v>
                </c:pt>
                <c:pt idx="210">
                  <c:v>43.412889997061164</c:v>
                </c:pt>
                <c:pt idx="211">
                  <c:v>43.413210007061572</c:v>
                </c:pt>
                <c:pt idx="212">
                  <c:v>43.413370012061783</c:v>
                </c:pt>
                <c:pt idx="213">
                  <c:v>44.274307812805525</c:v>
                </c:pt>
                <c:pt idx="214">
                  <c:v>44.274467817805736</c:v>
                </c:pt>
                <c:pt idx="215">
                  <c:v>44.274787827806144</c:v>
                </c:pt>
                <c:pt idx="216">
                  <c:v>44.274947832806355</c:v>
                </c:pt>
                <c:pt idx="217">
                  <c:v>44.862663056423081</c:v>
                </c:pt>
                <c:pt idx="218">
                  <c:v>44.862823061423285</c:v>
                </c:pt>
                <c:pt idx="219">
                  <c:v>44.8631430714237</c:v>
                </c:pt>
                <c:pt idx="220">
                  <c:v>44.863303076423904</c:v>
                </c:pt>
                <c:pt idx="221">
                  <c:v>45.162896931821535</c:v>
                </c:pt>
                <c:pt idx="222">
                  <c:v>45.163056936821739</c:v>
                </c:pt>
                <c:pt idx="223">
                  <c:v>45.163376946822154</c:v>
                </c:pt>
                <c:pt idx="224">
                  <c:v>45.163536951822358</c:v>
                </c:pt>
                <c:pt idx="225">
                  <c:v>45.751252175439085</c:v>
                </c:pt>
                <c:pt idx="226">
                  <c:v>45.751412180439296</c:v>
                </c:pt>
                <c:pt idx="227">
                  <c:v>45.751732190439704</c:v>
                </c:pt>
                <c:pt idx="228">
                  <c:v>45.751892195439915</c:v>
                </c:pt>
                <c:pt idx="229">
                  <c:v>46.612829996183656</c:v>
                </c:pt>
                <c:pt idx="230">
                  <c:v>46.612990001183867</c:v>
                </c:pt>
                <c:pt idx="231">
                  <c:v>46.613310011184275</c:v>
                </c:pt>
                <c:pt idx="232">
                  <c:v>46.613470016184486</c:v>
                </c:pt>
                <c:pt idx="233">
                  <c:v>47.474407816928228</c:v>
                </c:pt>
                <c:pt idx="234">
                  <c:v>47.474567821928439</c:v>
                </c:pt>
                <c:pt idx="235">
                  <c:v>47.474887831928847</c:v>
                </c:pt>
                <c:pt idx="236">
                  <c:v>47.475047836929058</c:v>
                </c:pt>
                <c:pt idx="237">
                  <c:v>48.062763060545784</c:v>
                </c:pt>
                <c:pt idx="238">
                  <c:v>48.062923065545988</c:v>
                </c:pt>
                <c:pt idx="239">
                  <c:v>48.063243075546403</c:v>
                </c:pt>
                <c:pt idx="240">
                  <c:v>48.063403080546607</c:v>
                </c:pt>
                <c:pt idx="241">
                  <c:v>48.36299693594426</c:v>
                </c:pt>
                <c:pt idx="242">
                  <c:v>48.363156940944464</c:v>
                </c:pt>
                <c:pt idx="243">
                  <c:v>48.363476950944879</c:v>
                </c:pt>
                <c:pt idx="244">
                  <c:v>48.363636955945083</c:v>
                </c:pt>
                <c:pt idx="245">
                  <c:v>48.951352179561809</c:v>
                </c:pt>
                <c:pt idx="246">
                  <c:v>48.951512184562013</c:v>
                </c:pt>
                <c:pt idx="247">
                  <c:v>48.951832194562428</c:v>
                </c:pt>
                <c:pt idx="248">
                  <c:v>48.951992199562632</c:v>
                </c:pt>
                <c:pt idx="249">
                  <c:v>49.81293000030638</c:v>
                </c:pt>
                <c:pt idx="250">
                  <c:v>49.813090005306584</c:v>
                </c:pt>
                <c:pt idx="251">
                  <c:v>49.813410015306999</c:v>
                </c:pt>
                <c:pt idx="252">
                  <c:v>49.813570020307203</c:v>
                </c:pt>
                <c:pt idx="253">
                  <c:v>50.674507821050952</c:v>
                </c:pt>
                <c:pt idx="254">
                  <c:v>50.674667826051156</c:v>
                </c:pt>
                <c:pt idx="255">
                  <c:v>50.674987836051571</c:v>
                </c:pt>
                <c:pt idx="256">
                  <c:v>50.675147841051775</c:v>
                </c:pt>
                <c:pt idx="257">
                  <c:v>51.262863064668501</c:v>
                </c:pt>
                <c:pt idx="258">
                  <c:v>51.263023069668712</c:v>
                </c:pt>
                <c:pt idx="259">
                  <c:v>51.26334307966912</c:v>
                </c:pt>
                <c:pt idx="260">
                  <c:v>51.263503084669331</c:v>
                </c:pt>
                <c:pt idx="261">
                  <c:v>51.563096940066963</c:v>
                </c:pt>
                <c:pt idx="262">
                  <c:v>51.563256945067167</c:v>
                </c:pt>
                <c:pt idx="263">
                  <c:v>51.563576955067582</c:v>
                </c:pt>
                <c:pt idx="264">
                  <c:v>51.563736960067786</c:v>
                </c:pt>
                <c:pt idx="265">
                  <c:v>52.151452183684512</c:v>
                </c:pt>
                <c:pt idx="266">
                  <c:v>52.151612188684716</c:v>
                </c:pt>
                <c:pt idx="267">
                  <c:v>52.151932198685131</c:v>
                </c:pt>
                <c:pt idx="268">
                  <c:v>52.152092203685335</c:v>
                </c:pt>
                <c:pt idx="269">
                  <c:v>53.013030004429083</c:v>
                </c:pt>
                <c:pt idx="270">
                  <c:v>53.013190009429287</c:v>
                </c:pt>
                <c:pt idx="271">
                  <c:v>53.013510019429702</c:v>
                </c:pt>
                <c:pt idx="272">
                  <c:v>53.013670024429906</c:v>
                </c:pt>
                <c:pt idx="273">
                  <c:v>53.874607825173655</c:v>
                </c:pt>
                <c:pt idx="274">
                  <c:v>53.874767830173859</c:v>
                </c:pt>
                <c:pt idx="275">
                  <c:v>53.875087840174274</c:v>
                </c:pt>
                <c:pt idx="276">
                  <c:v>53.875247845174478</c:v>
                </c:pt>
                <c:pt idx="277">
                  <c:v>54.462963068791204</c:v>
                </c:pt>
                <c:pt idx="278">
                  <c:v>54.463123073791415</c:v>
                </c:pt>
                <c:pt idx="279">
                  <c:v>54.463443083791823</c:v>
                </c:pt>
                <c:pt idx="280">
                  <c:v>54.463603088792034</c:v>
                </c:pt>
                <c:pt idx="281">
                  <c:v>54.76319694418968</c:v>
                </c:pt>
                <c:pt idx="282">
                  <c:v>54.763356949189891</c:v>
                </c:pt>
                <c:pt idx="283">
                  <c:v>54.763676959190299</c:v>
                </c:pt>
                <c:pt idx="284">
                  <c:v>54.76383696419051</c:v>
                </c:pt>
                <c:pt idx="285">
                  <c:v>55.351552187807236</c:v>
                </c:pt>
                <c:pt idx="286">
                  <c:v>55.35171219280744</c:v>
                </c:pt>
                <c:pt idx="287">
                  <c:v>55.352032202807855</c:v>
                </c:pt>
                <c:pt idx="288">
                  <c:v>55.352192207808059</c:v>
                </c:pt>
                <c:pt idx="289">
                  <c:v>56.213130008551808</c:v>
                </c:pt>
                <c:pt idx="290">
                  <c:v>56.213290013552012</c:v>
                </c:pt>
                <c:pt idx="291">
                  <c:v>56.213610023552427</c:v>
                </c:pt>
                <c:pt idx="292">
                  <c:v>56.213770028552631</c:v>
                </c:pt>
                <c:pt idx="293">
                  <c:v>57.074707829296379</c:v>
                </c:pt>
                <c:pt idx="294">
                  <c:v>57.074867834296583</c:v>
                </c:pt>
                <c:pt idx="295">
                  <c:v>57.075187844296998</c:v>
                </c:pt>
                <c:pt idx="296">
                  <c:v>57.075347849297202</c:v>
                </c:pt>
                <c:pt idx="297">
                  <c:v>57.663063072913928</c:v>
                </c:pt>
                <c:pt idx="298">
                  <c:v>57.663223077914132</c:v>
                </c:pt>
                <c:pt idx="299">
                  <c:v>57.663543087914547</c:v>
                </c:pt>
                <c:pt idx="300">
                  <c:v>57.663703092914751</c:v>
                </c:pt>
                <c:pt idx="301">
                  <c:v>57.963296948312383</c:v>
                </c:pt>
                <c:pt idx="302">
                  <c:v>57.963456953312594</c:v>
                </c:pt>
                <c:pt idx="303">
                  <c:v>57.963776963313002</c:v>
                </c:pt>
                <c:pt idx="304">
                  <c:v>57.963936968313213</c:v>
                </c:pt>
                <c:pt idx="305">
                  <c:v>58.551652191929939</c:v>
                </c:pt>
                <c:pt idx="306">
                  <c:v>58.551812196930143</c:v>
                </c:pt>
                <c:pt idx="307">
                  <c:v>58.552132206930558</c:v>
                </c:pt>
                <c:pt idx="308">
                  <c:v>58.552292211930762</c:v>
                </c:pt>
                <c:pt idx="309">
                  <c:v>59.413230012674511</c:v>
                </c:pt>
                <c:pt idx="310">
                  <c:v>59.413390017674715</c:v>
                </c:pt>
                <c:pt idx="311">
                  <c:v>59.41371002767513</c:v>
                </c:pt>
                <c:pt idx="312">
                  <c:v>59.413870032675334</c:v>
                </c:pt>
                <c:pt idx="313">
                  <c:v>60.274807833419082</c:v>
                </c:pt>
                <c:pt idx="314">
                  <c:v>60.274967838419286</c:v>
                </c:pt>
                <c:pt idx="315">
                  <c:v>60.275287848419701</c:v>
                </c:pt>
                <c:pt idx="316">
                  <c:v>60.275447853419905</c:v>
                </c:pt>
                <c:pt idx="317">
                  <c:v>60.863163077036631</c:v>
                </c:pt>
                <c:pt idx="318">
                  <c:v>60.863323082036835</c:v>
                </c:pt>
                <c:pt idx="319">
                  <c:v>60.86364309203725</c:v>
                </c:pt>
                <c:pt idx="320">
                  <c:v>60.863803097037454</c:v>
                </c:pt>
                <c:pt idx="321">
                  <c:v>61.163396952435107</c:v>
                </c:pt>
                <c:pt idx="322">
                  <c:v>61.163556957435311</c:v>
                </c:pt>
                <c:pt idx="323">
                  <c:v>61.163876967435726</c:v>
                </c:pt>
                <c:pt idx="324">
                  <c:v>61.16403697243593</c:v>
                </c:pt>
                <c:pt idx="325">
                  <c:v>61.751752196052657</c:v>
                </c:pt>
                <c:pt idx="326">
                  <c:v>61.751912201052868</c:v>
                </c:pt>
                <c:pt idx="327">
                  <c:v>61.752232211053276</c:v>
                </c:pt>
                <c:pt idx="328">
                  <c:v>61.752392216053487</c:v>
                </c:pt>
                <c:pt idx="329">
                  <c:v>62.613330016797228</c:v>
                </c:pt>
                <c:pt idx="330">
                  <c:v>62.613490021797439</c:v>
                </c:pt>
                <c:pt idx="331">
                  <c:v>62.613810031797847</c:v>
                </c:pt>
                <c:pt idx="332">
                  <c:v>62.613970036798058</c:v>
                </c:pt>
                <c:pt idx="333">
                  <c:v>63.474907837541799</c:v>
                </c:pt>
                <c:pt idx="334">
                  <c:v>63.475067842542011</c:v>
                </c:pt>
                <c:pt idx="335">
                  <c:v>63.475387852542418</c:v>
                </c:pt>
                <c:pt idx="336">
                  <c:v>63.47554785754263</c:v>
                </c:pt>
                <c:pt idx="337">
                  <c:v>64.063263081159349</c:v>
                </c:pt>
                <c:pt idx="338">
                  <c:v>64.06342308615956</c:v>
                </c:pt>
                <c:pt idx="339">
                  <c:v>64.063743096159968</c:v>
                </c:pt>
                <c:pt idx="340">
                  <c:v>64.063903101160179</c:v>
                </c:pt>
                <c:pt idx="341">
                  <c:v>64.36349695655781</c:v>
                </c:pt>
                <c:pt idx="342">
                  <c:v>64.363656961558021</c:v>
                </c:pt>
                <c:pt idx="343">
                  <c:v>64.363976971558429</c:v>
                </c:pt>
                <c:pt idx="344">
                  <c:v>64.36413697655864</c:v>
                </c:pt>
                <c:pt idx="345">
                  <c:v>64.951852200175367</c:v>
                </c:pt>
                <c:pt idx="346">
                  <c:v>64.952012205175564</c:v>
                </c:pt>
                <c:pt idx="347">
                  <c:v>64.952332215175986</c:v>
                </c:pt>
                <c:pt idx="348">
                  <c:v>64.952492220176183</c:v>
                </c:pt>
                <c:pt idx="349">
                  <c:v>65.813430020919938</c:v>
                </c:pt>
                <c:pt idx="350">
                  <c:v>65.813590025920135</c:v>
                </c:pt>
                <c:pt idx="351">
                  <c:v>65.813910035920557</c:v>
                </c:pt>
                <c:pt idx="352">
                  <c:v>65.814070040920754</c:v>
                </c:pt>
                <c:pt idx="353">
                  <c:v>66.67500784166451</c:v>
                </c:pt>
                <c:pt idx="354">
                  <c:v>66.675167846664706</c:v>
                </c:pt>
                <c:pt idx="355">
                  <c:v>66.675487856665129</c:v>
                </c:pt>
                <c:pt idx="356">
                  <c:v>66.675647861665325</c:v>
                </c:pt>
                <c:pt idx="357">
                  <c:v>67.263363085282052</c:v>
                </c:pt>
                <c:pt idx="358">
                  <c:v>67.263523090282263</c:v>
                </c:pt>
                <c:pt idx="359">
                  <c:v>67.263843100282671</c:v>
                </c:pt>
                <c:pt idx="360">
                  <c:v>67.264003105282882</c:v>
                </c:pt>
                <c:pt idx="361">
                  <c:v>67.563596960680528</c:v>
                </c:pt>
                <c:pt idx="362">
                  <c:v>67.563756965680739</c:v>
                </c:pt>
                <c:pt idx="363">
                  <c:v>67.564076975681147</c:v>
                </c:pt>
                <c:pt idx="364">
                  <c:v>67.564236980681358</c:v>
                </c:pt>
                <c:pt idx="365">
                  <c:v>68.151952204298084</c:v>
                </c:pt>
                <c:pt idx="366">
                  <c:v>68.152112209298295</c:v>
                </c:pt>
                <c:pt idx="367">
                  <c:v>68.152432219298703</c:v>
                </c:pt>
                <c:pt idx="368">
                  <c:v>68.152592224298914</c:v>
                </c:pt>
                <c:pt idx="369">
                  <c:v>69.013530025042655</c:v>
                </c:pt>
                <c:pt idx="370">
                  <c:v>69.013690030042866</c:v>
                </c:pt>
                <c:pt idx="371">
                  <c:v>69.014010040043274</c:v>
                </c:pt>
                <c:pt idx="372">
                  <c:v>69.014170045043485</c:v>
                </c:pt>
                <c:pt idx="373">
                  <c:v>69.875107845787227</c:v>
                </c:pt>
                <c:pt idx="374">
                  <c:v>69.875267850787438</c:v>
                </c:pt>
                <c:pt idx="375">
                  <c:v>69.875587860787846</c:v>
                </c:pt>
                <c:pt idx="376">
                  <c:v>69.875747865788057</c:v>
                </c:pt>
                <c:pt idx="377">
                  <c:v>70.463463089404783</c:v>
                </c:pt>
                <c:pt idx="378">
                  <c:v>70.46362309440498</c:v>
                </c:pt>
                <c:pt idx="379">
                  <c:v>70.463943104405402</c:v>
                </c:pt>
                <c:pt idx="380">
                  <c:v>70.464103109405599</c:v>
                </c:pt>
                <c:pt idx="381">
                  <c:v>70.763696964803231</c:v>
                </c:pt>
                <c:pt idx="382">
                  <c:v>70.763856969803442</c:v>
                </c:pt>
                <c:pt idx="383">
                  <c:v>70.76417697980385</c:v>
                </c:pt>
                <c:pt idx="384">
                  <c:v>70.764336984804061</c:v>
                </c:pt>
                <c:pt idx="385">
                  <c:v>71.352052208420787</c:v>
                </c:pt>
                <c:pt idx="386">
                  <c:v>71.352212213420998</c:v>
                </c:pt>
                <c:pt idx="387">
                  <c:v>71.352532223421406</c:v>
                </c:pt>
                <c:pt idx="388">
                  <c:v>71.352692228421617</c:v>
                </c:pt>
                <c:pt idx="389">
                  <c:v>72.213630029165358</c:v>
                </c:pt>
                <c:pt idx="390">
                  <c:v>72.213790034165569</c:v>
                </c:pt>
                <c:pt idx="391">
                  <c:v>72.214110044165977</c:v>
                </c:pt>
                <c:pt idx="392">
                  <c:v>72.214270049166188</c:v>
                </c:pt>
                <c:pt idx="393">
                  <c:v>73.07520784990993</c:v>
                </c:pt>
                <c:pt idx="394">
                  <c:v>73.075367854910141</c:v>
                </c:pt>
                <c:pt idx="395">
                  <c:v>73.075687864910549</c:v>
                </c:pt>
                <c:pt idx="396">
                  <c:v>73.07584786991076</c:v>
                </c:pt>
                <c:pt idx="397">
                  <c:v>73.663563093527486</c:v>
                </c:pt>
                <c:pt idx="398">
                  <c:v>73.663723098527683</c:v>
                </c:pt>
                <c:pt idx="399">
                  <c:v>73.664043108528105</c:v>
                </c:pt>
                <c:pt idx="400">
                  <c:v>73.664203113528302</c:v>
                </c:pt>
                <c:pt idx="401">
                  <c:v>73.963796968925962</c:v>
                </c:pt>
                <c:pt idx="402">
                  <c:v>73.963956973926159</c:v>
                </c:pt>
                <c:pt idx="403">
                  <c:v>73.964276983926581</c:v>
                </c:pt>
                <c:pt idx="404">
                  <c:v>73.964436988926778</c:v>
                </c:pt>
                <c:pt idx="405">
                  <c:v>74.552152212543504</c:v>
                </c:pt>
                <c:pt idx="406">
                  <c:v>74.552312217543715</c:v>
                </c:pt>
                <c:pt idx="407">
                  <c:v>74.552632227544123</c:v>
                </c:pt>
                <c:pt idx="408">
                  <c:v>74.552792232544334</c:v>
                </c:pt>
                <c:pt idx="409">
                  <c:v>75.413730033288076</c:v>
                </c:pt>
                <c:pt idx="410">
                  <c:v>75.413890038288287</c:v>
                </c:pt>
                <c:pt idx="411">
                  <c:v>75.414210048288695</c:v>
                </c:pt>
                <c:pt idx="412">
                  <c:v>75.414370053288906</c:v>
                </c:pt>
                <c:pt idx="413">
                  <c:v>76.275307854032647</c:v>
                </c:pt>
                <c:pt idx="414">
                  <c:v>76.275467859032858</c:v>
                </c:pt>
                <c:pt idx="415">
                  <c:v>76.275787869033266</c:v>
                </c:pt>
                <c:pt idx="416">
                  <c:v>76.275947874033477</c:v>
                </c:pt>
                <c:pt idx="417">
                  <c:v>76.863663097650203</c:v>
                </c:pt>
                <c:pt idx="418">
                  <c:v>76.863823102650414</c:v>
                </c:pt>
                <c:pt idx="419">
                  <c:v>76.864143112650822</c:v>
                </c:pt>
                <c:pt idx="420">
                  <c:v>76.864303117651033</c:v>
                </c:pt>
                <c:pt idx="421">
                  <c:v>77.163896973048665</c:v>
                </c:pt>
                <c:pt idx="422">
                  <c:v>77.164056978048862</c:v>
                </c:pt>
                <c:pt idx="423">
                  <c:v>77.164376988049284</c:v>
                </c:pt>
                <c:pt idx="424">
                  <c:v>77.164536993049481</c:v>
                </c:pt>
                <c:pt idx="425">
                  <c:v>77.752252216666207</c:v>
                </c:pt>
                <c:pt idx="426">
                  <c:v>77.752412221666418</c:v>
                </c:pt>
                <c:pt idx="427">
                  <c:v>77.752732231666826</c:v>
                </c:pt>
                <c:pt idx="428">
                  <c:v>77.752892236667037</c:v>
                </c:pt>
                <c:pt idx="429">
                  <c:v>78.613830037410779</c:v>
                </c:pt>
                <c:pt idx="430">
                  <c:v>78.61399004241099</c:v>
                </c:pt>
                <c:pt idx="431">
                  <c:v>78.614310052411398</c:v>
                </c:pt>
                <c:pt idx="432">
                  <c:v>78.614470057411609</c:v>
                </c:pt>
                <c:pt idx="433">
                  <c:v>79.47540785815535</c:v>
                </c:pt>
                <c:pt idx="434">
                  <c:v>79.475567863155561</c:v>
                </c:pt>
                <c:pt idx="435">
                  <c:v>79.475887873155969</c:v>
                </c:pt>
                <c:pt idx="436">
                  <c:v>79.47604787815618</c:v>
                </c:pt>
                <c:pt idx="437">
                  <c:v>80.063763101772906</c:v>
                </c:pt>
                <c:pt idx="438">
                  <c:v>80.063923106773117</c:v>
                </c:pt>
                <c:pt idx="439">
                  <c:v>80.064243116773525</c:v>
                </c:pt>
                <c:pt idx="440">
                  <c:v>80.064403121773736</c:v>
                </c:pt>
                <c:pt idx="441">
                  <c:v>80.363996977171382</c:v>
                </c:pt>
                <c:pt idx="442">
                  <c:v>80.364156982171593</c:v>
                </c:pt>
                <c:pt idx="443">
                  <c:v>80.364476992172001</c:v>
                </c:pt>
                <c:pt idx="444">
                  <c:v>80.364636997172212</c:v>
                </c:pt>
                <c:pt idx="445">
                  <c:v>80.952352220788939</c:v>
                </c:pt>
                <c:pt idx="446">
                  <c:v>80.952512225789135</c:v>
                </c:pt>
                <c:pt idx="447">
                  <c:v>80.952832235789558</c:v>
                </c:pt>
                <c:pt idx="448">
                  <c:v>80.952992240789754</c:v>
                </c:pt>
                <c:pt idx="449">
                  <c:v>81.81393004153351</c:v>
                </c:pt>
                <c:pt idx="450">
                  <c:v>81.814090046533707</c:v>
                </c:pt>
                <c:pt idx="451">
                  <c:v>81.814410056534129</c:v>
                </c:pt>
                <c:pt idx="452">
                  <c:v>81.814570061534326</c:v>
                </c:pt>
                <c:pt idx="453">
                  <c:v>82.675507862278081</c:v>
                </c:pt>
                <c:pt idx="454">
                  <c:v>82.675667867278278</c:v>
                </c:pt>
                <c:pt idx="455">
                  <c:v>82.6759878772787</c:v>
                </c:pt>
                <c:pt idx="456">
                  <c:v>82.676147882278897</c:v>
                </c:pt>
                <c:pt idx="457">
                  <c:v>83.263863105895624</c:v>
                </c:pt>
                <c:pt idx="458">
                  <c:v>83.264023110895835</c:v>
                </c:pt>
                <c:pt idx="459">
                  <c:v>83.264343120896243</c:v>
                </c:pt>
                <c:pt idx="460">
                  <c:v>83.264503125896454</c:v>
                </c:pt>
                <c:pt idx="461">
                  <c:v>83.564096981294085</c:v>
                </c:pt>
                <c:pt idx="462">
                  <c:v>83.564256986294296</c:v>
                </c:pt>
                <c:pt idx="463">
                  <c:v>83.564576996294704</c:v>
                </c:pt>
                <c:pt idx="464">
                  <c:v>83.564737001294915</c:v>
                </c:pt>
                <c:pt idx="465">
                  <c:v>84.152452224911642</c:v>
                </c:pt>
                <c:pt idx="466">
                  <c:v>84.152612229911838</c:v>
                </c:pt>
                <c:pt idx="467">
                  <c:v>84.152932239912261</c:v>
                </c:pt>
                <c:pt idx="468">
                  <c:v>84.153092244912457</c:v>
                </c:pt>
                <c:pt idx="469">
                  <c:v>85.014030045656213</c:v>
                </c:pt>
                <c:pt idx="470">
                  <c:v>85.01419005065641</c:v>
                </c:pt>
                <c:pt idx="471">
                  <c:v>85.014510060656832</c:v>
                </c:pt>
                <c:pt idx="472">
                  <c:v>85.014670065657029</c:v>
                </c:pt>
                <c:pt idx="473">
                  <c:v>85.875607866400784</c:v>
                </c:pt>
                <c:pt idx="474">
                  <c:v>85.875767871400981</c:v>
                </c:pt>
                <c:pt idx="475">
                  <c:v>85.876087881401403</c:v>
                </c:pt>
                <c:pt idx="476">
                  <c:v>85.8762478864016</c:v>
                </c:pt>
                <c:pt idx="477">
                  <c:v>86.463963110018327</c:v>
                </c:pt>
                <c:pt idx="478">
                  <c:v>86.464123115018538</c:v>
                </c:pt>
                <c:pt idx="479">
                  <c:v>86.464443125018946</c:v>
                </c:pt>
                <c:pt idx="480">
                  <c:v>86.464603130019157</c:v>
                </c:pt>
                <c:pt idx="481">
                  <c:v>86.764196985416802</c:v>
                </c:pt>
                <c:pt idx="482">
                  <c:v>86.764356990417014</c:v>
                </c:pt>
                <c:pt idx="483">
                  <c:v>86.764677000417421</c:v>
                </c:pt>
                <c:pt idx="484">
                  <c:v>86.764837005417633</c:v>
                </c:pt>
                <c:pt idx="485">
                  <c:v>87.352552229034359</c:v>
                </c:pt>
                <c:pt idx="486">
                  <c:v>87.35271223403457</c:v>
                </c:pt>
                <c:pt idx="487">
                  <c:v>87.353032244034978</c:v>
                </c:pt>
                <c:pt idx="488">
                  <c:v>87.353192249035189</c:v>
                </c:pt>
                <c:pt idx="489">
                  <c:v>88.21413004977893</c:v>
                </c:pt>
                <c:pt idx="490">
                  <c:v>88.214290054779141</c:v>
                </c:pt>
                <c:pt idx="491">
                  <c:v>88.214610064779549</c:v>
                </c:pt>
                <c:pt idx="492">
                  <c:v>88.21477006977976</c:v>
                </c:pt>
                <c:pt idx="493">
                  <c:v>89.075707870523502</c:v>
                </c:pt>
                <c:pt idx="494">
                  <c:v>89.075867875523713</c:v>
                </c:pt>
                <c:pt idx="495">
                  <c:v>89.076187885524121</c:v>
                </c:pt>
                <c:pt idx="496">
                  <c:v>89.076347890524332</c:v>
                </c:pt>
                <c:pt idx="497">
                  <c:v>89.664063114141058</c:v>
                </c:pt>
                <c:pt idx="498">
                  <c:v>89.664223119141255</c:v>
                </c:pt>
                <c:pt idx="499">
                  <c:v>89.664543129141677</c:v>
                </c:pt>
                <c:pt idx="500">
                  <c:v>89.664703134141874</c:v>
                </c:pt>
                <c:pt idx="501">
                  <c:v>89.964296989539534</c:v>
                </c:pt>
                <c:pt idx="502">
                  <c:v>89.964456994539731</c:v>
                </c:pt>
                <c:pt idx="503">
                  <c:v>89.964777004540153</c:v>
                </c:pt>
                <c:pt idx="504">
                  <c:v>89.96493700954035</c:v>
                </c:pt>
                <c:pt idx="505">
                  <c:v>90.552652233157076</c:v>
                </c:pt>
                <c:pt idx="506">
                  <c:v>90.552812238157287</c:v>
                </c:pt>
                <c:pt idx="507">
                  <c:v>90.553132248157695</c:v>
                </c:pt>
                <c:pt idx="508">
                  <c:v>90.553292253157906</c:v>
                </c:pt>
                <c:pt idx="509">
                  <c:v>91.414230053901647</c:v>
                </c:pt>
                <c:pt idx="510">
                  <c:v>91.414390058901859</c:v>
                </c:pt>
                <c:pt idx="511">
                  <c:v>91.414710068902266</c:v>
                </c:pt>
                <c:pt idx="512">
                  <c:v>91.414870073902478</c:v>
                </c:pt>
                <c:pt idx="513">
                  <c:v>92.275807874646219</c:v>
                </c:pt>
                <c:pt idx="514">
                  <c:v>92.27596787964643</c:v>
                </c:pt>
                <c:pt idx="515">
                  <c:v>92.276287889646838</c:v>
                </c:pt>
                <c:pt idx="516">
                  <c:v>92.276447894647049</c:v>
                </c:pt>
                <c:pt idx="517">
                  <c:v>92.864163118263775</c:v>
                </c:pt>
                <c:pt idx="518">
                  <c:v>92.864323123263986</c:v>
                </c:pt>
                <c:pt idx="519">
                  <c:v>92.864643133264394</c:v>
                </c:pt>
                <c:pt idx="520">
                  <c:v>92.864803138264605</c:v>
                </c:pt>
                <c:pt idx="521">
                  <c:v>93.164396993662251</c:v>
                </c:pt>
                <c:pt idx="522">
                  <c:v>93.164556998662462</c:v>
                </c:pt>
                <c:pt idx="523">
                  <c:v>93.16487700866287</c:v>
                </c:pt>
                <c:pt idx="524">
                  <c:v>93.165037013663081</c:v>
                </c:pt>
                <c:pt idx="525">
                  <c:v>93.752752237279807</c:v>
                </c:pt>
                <c:pt idx="526">
                  <c:v>93.752912242280004</c:v>
                </c:pt>
                <c:pt idx="527">
                  <c:v>93.753232252280426</c:v>
                </c:pt>
                <c:pt idx="528">
                  <c:v>93.753392257280623</c:v>
                </c:pt>
                <c:pt idx="529">
                  <c:v>94.614330058024379</c:v>
                </c:pt>
                <c:pt idx="530">
                  <c:v>94.614490063024576</c:v>
                </c:pt>
                <c:pt idx="531">
                  <c:v>94.614810073024998</c:v>
                </c:pt>
                <c:pt idx="532">
                  <c:v>94.614970078025195</c:v>
                </c:pt>
                <c:pt idx="533">
                  <c:v>95.47590787876895</c:v>
                </c:pt>
                <c:pt idx="534">
                  <c:v>95.476067883769147</c:v>
                </c:pt>
                <c:pt idx="535">
                  <c:v>95.476387893769569</c:v>
                </c:pt>
                <c:pt idx="536">
                  <c:v>95.476547898769766</c:v>
                </c:pt>
                <c:pt idx="537">
                  <c:v>96.064263122386492</c:v>
                </c:pt>
                <c:pt idx="538">
                  <c:v>96.064423127386704</c:v>
                </c:pt>
                <c:pt idx="539">
                  <c:v>96.064743137387111</c:v>
                </c:pt>
                <c:pt idx="540">
                  <c:v>96.064903142387323</c:v>
                </c:pt>
                <c:pt idx="541">
                  <c:v>96.364496997784968</c:v>
                </c:pt>
                <c:pt idx="542">
                  <c:v>96.364657002785179</c:v>
                </c:pt>
                <c:pt idx="543">
                  <c:v>96.364977012785587</c:v>
                </c:pt>
                <c:pt idx="544">
                  <c:v>96.365137017785798</c:v>
                </c:pt>
                <c:pt idx="545">
                  <c:v>96.952852241402525</c:v>
                </c:pt>
                <c:pt idx="546">
                  <c:v>96.953012246402736</c:v>
                </c:pt>
                <c:pt idx="547">
                  <c:v>96.953332256403144</c:v>
                </c:pt>
                <c:pt idx="548">
                  <c:v>96.953492261403355</c:v>
                </c:pt>
                <c:pt idx="549">
                  <c:v>97.814430062147096</c:v>
                </c:pt>
                <c:pt idx="550">
                  <c:v>97.814590067147307</c:v>
                </c:pt>
                <c:pt idx="551">
                  <c:v>97.814910077147715</c:v>
                </c:pt>
                <c:pt idx="552">
                  <c:v>97.815070082147926</c:v>
                </c:pt>
                <c:pt idx="553">
                  <c:v>98.676007882891668</c:v>
                </c:pt>
                <c:pt idx="554">
                  <c:v>98.676167887891879</c:v>
                </c:pt>
                <c:pt idx="555">
                  <c:v>98.676487897892287</c:v>
                </c:pt>
                <c:pt idx="556">
                  <c:v>98.676647902892498</c:v>
                </c:pt>
                <c:pt idx="557">
                  <c:v>99.264363126509224</c:v>
                </c:pt>
                <c:pt idx="558">
                  <c:v>99.264523131509421</c:v>
                </c:pt>
                <c:pt idx="559">
                  <c:v>99.264843141509843</c:v>
                </c:pt>
                <c:pt idx="560">
                  <c:v>99.26500314651004</c:v>
                </c:pt>
                <c:pt idx="561">
                  <c:v>99.5645970019077</c:v>
                </c:pt>
                <c:pt idx="562">
                  <c:v>99.564757006907897</c:v>
                </c:pt>
                <c:pt idx="563">
                  <c:v>99.565077016908319</c:v>
                </c:pt>
                <c:pt idx="564">
                  <c:v>99.565237021908516</c:v>
                </c:pt>
                <c:pt idx="565">
                  <c:v>100.15295224552524</c:v>
                </c:pt>
                <c:pt idx="566">
                  <c:v>100.15311225052545</c:v>
                </c:pt>
                <c:pt idx="567">
                  <c:v>100.15343226052586</c:v>
                </c:pt>
                <c:pt idx="568">
                  <c:v>100.15359226552607</c:v>
                </c:pt>
                <c:pt idx="569">
                  <c:v>101.01453006626981</c:v>
                </c:pt>
                <c:pt idx="570">
                  <c:v>101.01469007127002</c:v>
                </c:pt>
                <c:pt idx="571">
                  <c:v>101.01501008127043</c:v>
                </c:pt>
                <c:pt idx="572">
                  <c:v>101.01517008627064</c:v>
                </c:pt>
                <c:pt idx="573">
                  <c:v>101.87610788701438</c:v>
                </c:pt>
                <c:pt idx="574">
                  <c:v>101.8762678920146</c:v>
                </c:pt>
                <c:pt idx="575">
                  <c:v>101.876587902015</c:v>
                </c:pt>
                <c:pt idx="576">
                  <c:v>101.87674790701521</c:v>
                </c:pt>
                <c:pt idx="577">
                  <c:v>102.46446313063194</c:v>
                </c:pt>
                <c:pt idx="578">
                  <c:v>102.46462313563215</c:v>
                </c:pt>
                <c:pt idx="579">
                  <c:v>102.46494314563256</c:v>
                </c:pt>
                <c:pt idx="580">
                  <c:v>102.46510315063277</c:v>
                </c:pt>
                <c:pt idx="581">
                  <c:v>102.76469700603042</c:v>
                </c:pt>
                <c:pt idx="582">
                  <c:v>102.76485701103063</c:v>
                </c:pt>
                <c:pt idx="583">
                  <c:v>102.76517702103104</c:v>
                </c:pt>
                <c:pt idx="584">
                  <c:v>102.76533702603125</c:v>
                </c:pt>
                <c:pt idx="585">
                  <c:v>103.35305224964797</c:v>
                </c:pt>
                <c:pt idx="586">
                  <c:v>103.35321225464817</c:v>
                </c:pt>
                <c:pt idx="587">
                  <c:v>103.35353226464859</c:v>
                </c:pt>
                <c:pt idx="588">
                  <c:v>103.35369226964879</c:v>
                </c:pt>
                <c:pt idx="589">
                  <c:v>104.21463007039254</c:v>
                </c:pt>
                <c:pt idx="590">
                  <c:v>104.21479007539274</c:v>
                </c:pt>
                <c:pt idx="591">
                  <c:v>104.21511008539316</c:v>
                </c:pt>
                <c:pt idx="592">
                  <c:v>104.21527009039336</c:v>
                </c:pt>
                <c:pt idx="593">
                  <c:v>105.07620789113712</c:v>
                </c:pt>
                <c:pt idx="594">
                  <c:v>105.07636789613731</c:v>
                </c:pt>
                <c:pt idx="595">
                  <c:v>105.07668790613774</c:v>
                </c:pt>
                <c:pt idx="596">
                  <c:v>105.07684791113793</c:v>
                </c:pt>
                <c:pt idx="597">
                  <c:v>105.66456313475466</c:v>
                </c:pt>
                <c:pt idx="598">
                  <c:v>105.66472313975487</c:v>
                </c:pt>
                <c:pt idx="599">
                  <c:v>105.66504314975528</c:v>
                </c:pt>
                <c:pt idx="600">
                  <c:v>105.66520315475549</c:v>
                </c:pt>
                <c:pt idx="601">
                  <c:v>105.9780863904432</c:v>
                </c:pt>
                <c:pt idx="602">
                  <c:v>105.97826059044279</c:v>
                </c:pt>
                <c:pt idx="603">
                  <c:v>105.97860899044196</c:v>
                </c:pt>
                <c:pt idx="604">
                  <c:v>105.97878319044155</c:v>
                </c:pt>
                <c:pt idx="605">
                  <c:v>106.61863814234829</c:v>
                </c:pt>
                <c:pt idx="606">
                  <c:v>106.61881234234788</c:v>
                </c:pt>
                <c:pt idx="607">
                  <c:v>106.61916074234705</c:v>
                </c:pt>
                <c:pt idx="608">
                  <c:v>106.61933494234664</c:v>
                </c:pt>
                <c:pt idx="609">
                  <c:v>107.55665167833244</c:v>
                </c:pt>
                <c:pt idx="610">
                  <c:v>107.55682587833202</c:v>
                </c:pt>
                <c:pt idx="611">
                  <c:v>107.5571742783312</c:v>
                </c:pt>
                <c:pt idx="612">
                  <c:v>107.55734847833078</c:v>
                </c:pt>
                <c:pt idx="613">
                  <c:v>108.49466521431658</c:v>
                </c:pt>
                <c:pt idx="614">
                  <c:v>108.49483941431617</c:v>
                </c:pt>
                <c:pt idx="615">
                  <c:v>108.49518781431534</c:v>
                </c:pt>
                <c:pt idx="616">
                  <c:v>108.49536201431494</c:v>
                </c:pt>
                <c:pt idx="617">
                  <c:v>109.13521696622168</c:v>
                </c:pt>
                <c:pt idx="618">
                  <c:v>109.13539116622127</c:v>
                </c:pt>
                <c:pt idx="619">
                  <c:v>109.13573956622044</c:v>
                </c:pt>
                <c:pt idx="620">
                  <c:v>109.13591376622003</c:v>
                </c:pt>
                <c:pt idx="621">
                  <c:v>109.46208638219775</c:v>
                </c:pt>
                <c:pt idx="622">
                  <c:v>109.46226058219735</c:v>
                </c:pt>
                <c:pt idx="623">
                  <c:v>109.46260898219651</c:v>
                </c:pt>
                <c:pt idx="624">
                  <c:v>109.46278318219611</c:v>
                </c:pt>
                <c:pt idx="625">
                  <c:v>110.10263813410285</c:v>
                </c:pt>
                <c:pt idx="626">
                  <c:v>110.10281233410244</c:v>
                </c:pt>
                <c:pt idx="627">
                  <c:v>110.10316073410161</c:v>
                </c:pt>
                <c:pt idx="628">
                  <c:v>110.1033349341012</c:v>
                </c:pt>
                <c:pt idx="629">
                  <c:v>111.040651670087</c:v>
                </c:pt>
                <c:pt idx="630">
                  <c:v>111.04082587008658</c:v>
                </c:pt>
                <c:pt idx="631">
                  <c:v>111.04117427008576</c:v>
                </c:pt>
                <c:pt idx="632">
                  <c:v>111.04134847008534</c:v>
                </c:pt>
                <c:pt idx="633">
                  <c:v>111.97866520607114</c:v>
                </c:pt>
                <c:pt idx="634">
                  <c:v>111.97883940607073</c:v>
                </c:pt>
                <c:pt idx="635">
                  <c:v>111.9791878060699</c:v>
                </c:pt>
                <c:pt idx="636">
                  <c:v>111.97936200606949</c:v>
                </c:pt>
                <c:pt idx="637">
                  <c:v>112.61921695797623</c:v>
                </c:pt>
                <c:pt idx="638">
                  <c:v>112.61939115797583</c:v>
                </c:pt>
                <c:pt idx="639">
                  <c:v>112.619739557975</c:v>
                </c:pt>
                <c:pt idx="640">
                  <c:v>112.61991375797459</c:v>
                </c:pt>
                <c:pt idx="641">
                  <c:v>112.94608637395235</c:v>
                </c:pt>
                <c:pt idx="642">
                  <c:v>112.94626057395193</c:v>
                </c:pt>
                <c:pt idx="643">
                  <c:v>112.94660897395111</c:v>
                </c:pt>
                <c:pt idx="644">
                  <c:v>112.94678317395069</c:v>
                </c:pt>
                <c:pt idx="645">
                  <c:v>113.58663812585745</c:v>
                </c:pt>
                <c:pt idx="646">
                  <c:v>113.58681232585703</c:v>
                </c:pt>
                <c:pt idx="647">
                  <c:v>113.58716072585621</c:v>
                </c:pt>
                <c:pt idx="648">
                  <c:v>113.58733492585579</c:v>
                </c:pt>
                <c:pt idx="649">
                  <c:v>114.52465166184159</c:v>
                </c:pt>
                <c:pt idx="650">
                  <c:v>114.52482586184118</c:v>
                </c:pt>
                <c:pt idx="651">
                  <c:v>114.52517426184035</c:v>
                </c:pt>
                <c:pt idx="652">
                  <c:v>114.52534846183994</c:v>
                </c:pt>
                <c:pt idx="653">
                  <c:v>115.46266519782574</c:v>
                </c:pt>
                <c:pt idx="654">
                  <c:v>115.46283939782533</c:v>
                </c:pt>
                <c:pt idx="655">
                  <c:v>115.4631877978245</c:v>
                </c:pt>
                <c:pt idx="656">
                  <c:v>115.46336199782409</c:v>
                </c:pt>
                <c:pt idx="657">
                  <c:v>116.10321694973084</c:v>
                </c:pt>
                <c:pt idx="658">
                  <c:v>116.10339114973043</c:v>
                </c:pt>
                <c:pt idx="659">
                  <c:v>116.1037395497296</c:v>
                </c:pt>
                <c:pt idx="660">
                  <c:v>116.10391374972919</c:v>
                </c:pt>
                <c:pt idx="661">
                  <c:v>116.43008636570691</c:v>
                </c:pt>
                <c:pt idx="662">
                  <c:v>116.43026056570649</c:v>
                </c:pt>
                <c:pt idx="663">
                  <c:v>116.43060896570567</c:v>
                </c:pt>
                <c:pt idx="664">
                  <c:v>116.43078316570525</c:v>
                </c:pt>
                <c:pt idx="665">
                  <c:v>117.07063811761201</c:v>
                </c:pt>
                <c:pt idx="666">
                  <c:v>117.07081231761158</c:v>
                </c:pt>
                <c:pt idx="667">
                  <c:v>117.07116071761077</c:v>
                </c:pt>
                <c:pt idx="668">
                  <c:v>117.07133491761034</c:v>
                </c:pt>
                <c:pt idx="669">
                  <c:v>118.00865165359615</c:v>
                </c:pt>
                <c:pt idx="670">
                  <c:v>118.00882585359574</c:v>
                </c:pt>
                <c:pt idx="671">
                  <c:v>118.00917425359491</c:v>
                </c:pt>
                <c:pt idx="672">
                  <c:v>118.0093484535945</c:v>
                </c:pt>
                <c:pt idx="673">
                  <c:v>118.9466651895803</c:v>
                </c:pt>
                <c:pt idx="674">
                  <c:v>118.94683938957989</c:v>
                </c:pt>
                <c:pt idx="675">
                  <c:v>118.94718778957906</c:v>
                </c:pt>
                <c:pt idx="676">
                  <c:v>118.94736198957865</c:v>
                </c:pt>
                <c:pt idx="677">
                  <c:v>119.58721694148539</c:v>
                </c:pt>
                <c:pt idx="678">
                  <c:v>119.58739114148499</c:v>
                </c:pt>
                <c:pt idx="679">
                  <c:v>119.58773954148415</c:v>
                </c:pt>
                <c:pt idx="680">
                  <c:v>119.58791374148375</c:v>
                </c:pt>
                <c:pt idx="681">
                  <c:v>119.9140863574615</c:v>
                </c:pt>
                <c:pt idx="682">
                  <c:v>119.91426055746109</c:v>
                </c:pt>
                <c:pt idx="683">
                  <c:v>119.91460895746026</c:v>
                </c:pt>
                <c:pt idx="684">
                  <c:v>119.91478315745985</c:v>
                </c:pt>
                <c:pt idx="685">
                  <c:v>120.55463810936659</c:v>
                </c:pt>
                <c:pt idx="686">
                  <c:v>120.55481230936618</c:v>
                </c:pt>
                <c:pt idx="687">
                  <c:v>120.55516070936535</c:v>
                </c:pt>
                <c:pt idx="688">
                  <c:v>120.55533490936494</c:v>
                </c:pt>
                <c:pt idx="689">
                  <c:v>121.49265164535075</c:v>
                </c:pt>
                <c:pt idx="690">
                  <c:v>121.49282584535034</c:v>
                </c:pt>
                <c:pt idx="691">
                  <c:v>121.49317424534951</c:v>
                </c:pt>
                <c:pt idx="692">
                  <c:v>121.4933484453491</c:v>
                </c:pt>
                <c:pt idx="693">
                  <c:v>122.4306651813349</c:v>
                </c:pt>
                <c:pt idx="694">
                  <c:v>122.43083938133448</c:v>
                </c:pt>
                <c:pt idx="695">
                  <c:v>122.43118778133366</c:v>
                </c:pt>
                <c:pt idx="696">
                  <c:v>122.43136198133324</c:v>
                </c:pt>
                <c:pt idx="697">
                  <c:v>123.07121693324</c:v>
                </c:pt>
                <c:pt idx="698">
                  <c:v>123.07139113323957</c:v>
                </c:pt>
                <c:pt idx="699">
                  <c:v>123.07173953323876</c:v>
                </c:pt>
                <c:pt idx="700">
                  <c:v>123.07191373323833</c:v>
                </c:pt>
                <c:pt idx="701">
                  <c:v>123.39808634921606</c:v>
                </c:pt>
                <c:pt idx="702">
                  <c:v>123.39826054921565</c:v>
                </c:pt>
                <c:pt idx="703">
                  <c:v>123.39860894921482</c:v>
                </c:pt>
                <c:pt idx="704">
                  <c:v>123.39878314921441</c:v>
                </c:pt>
                <c:pt idx="705">
                  <c:v>124.03863810112115</c:v>
                </c:pt>
                <c:pt idx="706">
                  <c:v>124.03881230112074</c:v>
                </c:pt>
                <c:pt idx="707">
                  <c:v>124.03916070111991</c:v>
                </c:pt>
                <c:pt idx="708">
                  <c:v>124.0393349011195</c:v>
                </c:pt>
                <c:pt idx="709">
                  <c:v>124.97665163710531</c:v>
                </c:pt>
                <c:pt idx="710">
                  <c:v>124.9768258371049</c:v>
                </c:pt>
                <c:pt idx="711">
                  <c:v>124.97717423710407</c:v>
                </c:pt>
                <c:pt idx="712">
                  <c:v>124.97734843710366</c:v>
                </c:pt>
                <c:pt idx="713">
                  <c:v>125.91466517308946</c:v>
                </c:pt>
                <c:pt idx="714">
                  <c:v>125.91483937308904</c:v>
                </c:pt>
                <c:pt idx="715">
                  <c:v>125.91518777308822</c:v>
                </c:pt>
                <c:pt idx="716">
                  <c:v>125.9153619730878</c:v>
                </c:pt>
                <c:pt idx="717">
                  <c:v>126.55521692499455</c:v>
                </c:pt>
                <c:pt idx="718">
                  <c:v>126.55539112499413</c:v>
                </c:pt>
                <c:pt idx="719">
                  <c:v>126.55573952499331</c:v>
                </c:pt>
                <c:pt idx="720">
                  <c:v>126.55591372499289</c:v>
                </c:pt>
                <c:pt idx="721">
                  <c:v>126.88208634097066</c:v>
                </c:pt>
                <c:pt idx="722">
                  <c:v>126.88226054097025</c:v>
                </c:pt>
                <c:pt idx="723">
                  <c:v>126.88260894096942</c:v>
                </c:pt>
                <c:pt idx="724">
                  <c:v>126.88278314096901</c:v>
                </c:pt>
                <c:pt idx="725">
                  <c:v>127.52263809287575</c:v>
                </c:pt>
                <c:pt idx="726">
                  <c:v>127.52281229287534</c:v>
                </c:pt>
                <c:pt idx="727">
                  <c:v>127.52316069287451</c:v>
                </c:pt>
                <c:pt idx="728">
                  <c:v>127.5233348928741</c:v>
                </c:pt>
                <c:pt idx="729">
                  <c:v>128.46065162885989</c:v>
                </c:pt>
                <c:pt idx="730">
                  <c:v>128.4608258288595</c:v>
                </c:pt>
                <c:pt idx="731">
                  <c:v>128.46117422885865</c:v>
                </c:pt>
                <c:pt idx="732">
                  <c:v>128.46134842885826</c:v>
                </c:pt>
                <c:pt idx="733">
                  <c:v>129.39866516484406</c:v>
                </c:pt>
                <c:pt idx="734">
                  <c:v>129.39883936484364</c:v>
                </c:pt>
                <c:pt idx="735">
                  <c:v>129.39918776484282</c:v>
                </c:pt>
                <c:pt idx="736">
                  <c:v>129.3993619648424</c:v>
                </c:pt>
                <c:pt idx="737">
                  <c:v>130.03921691674915</c:v>
                </c:pt>
                <c:pt idx="738">
                  <c:v>130.03939111674873</c:v>
                </c:pt>
                <c:pt idx="739">
                  <c:v>130.03973951674791</c:v>
                </c:pt>
                <c:pt idx="740">
                  <c:v>130.03991371674749</c:v>
                </c:pt>
                <c:pt idx="741">
                  <c:v>130.36608633272522</c:v>
                </c:pt>
                <c:pt idx="742">
                  <c:v>130.36626053272479</c:v>
                </c:pt>
                <c:pt idx="743">
                  <c:v>130.36660893272398</c:v>
                </c:pt>
                <c:pt idx="744">
                  <c:v>130.36678313272355</c:v>
                </c:pt>
                <c:pt idx="745">
                  <c:v>131.00663808463031</c:v>
                </c:pt>
                <c:pt idx="746">
                  <c:v>131.00681228462989</c:v>
                </c:pt>
                <c:pt idx="747">
                  <c:v>131.00716068462907</c:v>
                </c:pt>
                <c:pt idx="748">
                  <c:v>131.00733488462865</c:v>
                </c:pt>
                <c:pt idx="749">
                  <c:v>131.94465162061445</c:v>
                </c:pt>
                <c:pt idx="750">
                  <c:v>131.94482582061406</c:v>
                </c:pt>
                <c:pt idx="751">
                  <c:v>131.94517422061321</c:v>
                </c:pt>
                <c:pt idx="752">
                  <c:v>131.94534842061282</c:v>
                </c:pt>
                <c:pt idx="753">
                  <c:v>132.88266515659862</c:v>
                </c:pt>
                <c:pt idx="754">
                  <c:v>132.8828393565982</c:v>
                </c:pt>
                <c:pt idx="755">
                  <c:v>132.88318775659738</c:v>
                </c:pt>
                <c:pt idx="756">
                  <c:v>132.88336195659696</c:v>
                </c:pt>
                <c:pt idx="757">
                  <c:v>133.52321690850371</c:v>
                </c:pt>
                <c:pt idx="758">
                  <c:v>133.52339110850329</c:v>
                </c:pt>
                <c:pt idx="759">
                  <c:v>133.52373950850247</c:v>
                </c:pt>
                <c:pt idx="760">
                  <c:v>133.52391370850205</c:v>
                </c:pt>
                <c:pt idx="761">
                  <c:v>133.8500863244798</c:v>
                </c:pt>
                <c:pt idx="762">
                  <c:v>133.85026052447941</c:v>
                </c:pt>
                <c:pt idx="763">
                  <c:v>133.85060892447856</c:v>
                </c:pt>
                <c:pt idx="764">
                  <c:v>133.85078312447817</c:v>
                </c:pt>
                <c:pt idx="765">
                  <c:v>134.4906380763849</c:v>
                </c:pt>
                <c:pt idx="766">
                  <c:v>134.4908122763845</c:v>
                </c:pt>
                <c:pt idx="767">
                  <c:v>134.49116067638366</c:v>
                </c:pt>
                <c:pt idx="768">
                  <c:v>134.49133487638326</c:v>
                </c:pt>
                <c:pt idx="769">
                  <c:v>135.42865161236907</c:v>
                </c:pt>
                <c:pt idx="770">
                  <c:v>135.42882581236864</c:v>
                </c:pt>
                <c:pt idx="771">
                  <c:v>135.42917421236783</c:v>
                </c:pt>
                <c:pt idx="772">
                  <c:v>135.4293484123674</c:v>
                </c:pt>
                <c:pt idx="773">
                  <c:v>136.36666514835321</c:v>
                </c:pt>
                <c:pt idx="774">
                  <c:v>136.36683934835278</c:v>
                </c:pt>
                <c:pt idx="775">
                  <c:v>136.36718774835197</c:v>
                </c:pt>
                <c:pt idx="776">
                  <c:v>136.36736194835154</c:v>
                </c:pt>
                <c:pt idx="777">
                  <c:v>137.0072169002583</c:v>
                </c:pt>
                <c:pt idx="778">
                  <c:v>137.00739110025788</c:v>
                </c:pt>
                <c:pt idx="779">
                  <c:v>137.00773950025706</c:v>
                </c:pt>
                <c:pt idx="780">
                  <c:v>137.00791370025664</c:v>
                </c:pt>
                <c:pt idx="781">
                  <c:v>137.33408631623436</c:v>
                </c:pt>
                <c:pt idx="782">
                  <c:v>137.33426051623397</c:v>
                </c:pt>
                <c:pt idx="783">
                  <c:v>137.33460891623312</c:v>
                </c:pt>
                <c:pt idx="784">
                  <c:v>137.33478311623273</c:v>
                </c:pt>
                <c:pt idx="785">
                  <c:v>137.97463806813946</c:v>
                </c:pt>
                <c:pt idx="786">
                  <c:v>137.97481226813906</c:v>
                </c:pt>
                <c:pt idx="787">
                  <c:v>137.97516066813822</c:v>
                </c:pt>
                <c:pt idx="788">
                  <c:v>137.97533486813782</c:v>
                </c:pt>
                <c:pt idx="789">
                  <c:v>138.91265160412362</c:v>
                </c:pt>
                <c:pt idx="790">
                  <c:v>138.9128258041232</c:v>
                </c:pt>
                <c:pt idx="791">
                  <c:v>138.91317420412238</c:v>
                </c:pt>
                <c:pt idx="792">
                  <c:v>138.91334840412196</c:v>
                </c:pt>
                <c:pt idx="793">
                  <c:v>139.85066514010776</c:v>
                </c:pt>
                <c:pt idx="794">
                  <c:v>139.85083934010734</c:v>
                </c:pt>
                <c:pt idx="795">
                  <c:v>139.85118774010652</c:v>
                </c:pt>
                <c:pt idx="796">
                  <c:v>139.8513619401061</c:v>
                </c:pt>
                <c:pt idx="797">
                  <c:v>140.49121689201286</c:v>
                </c:pt>
                <c:pt idx="798">
                  <c:v>140.49139109201244</c:v>
                </c:pt>
                <c:pt idx="799">
                  <c:v>140.49173949201162</c:v>
                </c:pt>
              </c:numCache>
            </c:numRef>
          </c:xVal>
          <c:yVal>
            <c:numRef>
              <c:f>Graphs!$N$6:$N$805</c:f>
              <c:numCache>
                <c:formatCode>General</c:formatCode>
                <c:ptCount val="8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numCache>
            </c:numRef>
          </c:yVal>
          <c:smooth val="0"/>
          <c:extLst>
            <c:ext xmlns:c16="http://schemas.microsoft.com/office/drawing/2014/chart" uri="{C3380CC4-5D6E-409C-BE32-E72D297353CC}">
              <c16:uniqueId val="{00000001-7376-4D2E-A2D3-50E742F10DA8}"/>
            </c:ext>
          </c:extLst>
        </c:ser>
        <c:dLbls>
          <c:showLegendKey val="0"/>
          <c:showVal val="0"/>
          <c:showCatName val="0"/>
          <c:showSerName val="0"/>
          <c:showPercent val="0"/>
          <c:showBubbleSize val="0"/>
        </c:dLbls>
        <c:axId val="224164096"/>
        <c:axId val="224166272"/>
      </c:scatterChart>
      <c:valAx>
        <c:axId val="224164096"/>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low"/>
        <c:txPr>
          <a:bodyPr rot="0" vert="horz"/>
          <a:lstStyle/>
          <a:p>
            <a:pPr>
              <a:defRPr sz="1800" b="0" i="0" u="none" strike="noStrike" baseline="0">
                <a:solidFill>
                  <a:srgbClr val="000000"/>
                </a:solidFill>
                <a:latin typeface="Calibri"/>
                <a:ea typeface="Calibri"/>
                <a:cs typeface="Calibri"/>
              </a:defRPr>
            </a:pPr>
            <a:endParaRPr lang="en-US"/>
          </a:p>
        </c:txPr>
        <c:crossAx val="224166272"/>
        <c:crosses val="autoZero"/>
        <c:crossBetween val="midCat"/>
      </c:valAx>
      <c:valAx>
        <c:axId val="224166272"/>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Torque (kip-in)</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24164096"/>
        <c:crosses val="autoZero"/>
        <c:crossBetween val="midCat"/>
      </c:valAx>
      <c:spPr>
        <a:noFill/>
        <a:ln w="25400">
          <a:noFill/>
        </a:ln>
      </c:spPr>
    </c:plotArea>
    <c:plotVisOnly val="0"/>
    <c:dispBlanksAs val="gap"/>
    <c:showDLblsOverMax val="0"/>
  </c:chart>
  <c:txPr>
    <a:bodyPr/>
    <a:lstStyle/>
    <a:p>
      <a:pPr>
        <a:defRPr sz="18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i="0" u="none" strike="noStrike" baseline="0">
                <a:solidFill>
                  <a:srgbClr val="000000"/>
                </a:solidFill>
                <a:latin typeface="Calibri"/>
                <a:ea typeface="Calibri"/>
                <a:cs typeface="Calibri"/>
              </a:defRPr>
            </a:pPr>
            <a:r>
              <a:rPr lang="en-US"/>
              <a:t>Girder Twist</a:t>
            </a:r>
          </a:p>
        </c:rich>
      </c:tx>
      <c:overlay val="0"/>
    </c:title>
    <c:autoTitleDeleted val="0"/>
    <c:plotArea>
      <c:layout/>
      <c:scatterChart>
        <c:scatterStyle val="lineMarker"/>
        <c:varyColors val="0"/>
        <c:ser>
          <c:idx val="1"/>
          <c:order val="0"/>
          <c:spPr>
            <a:ln w="44450">
              <a:solidFill>
                <a:srgbClr val="0070C0"/>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Graphs!$I$6:$I$46</c:f>
              <c:numCache>
                <c:formatCode>General</c:formatCode>
                <c:ptCount val="41"/>
                <c:pt idx="0">
                  <c:v>1.1161300788611017</c:v>
                </c:pt>
                <c:pt idx="1">
                  <c:v>1.1092828540826087</c:v>
                </c:pt>
                <c:pt idx="2">
                  <c:v>1.1023428427518787</c:v>
                </c:pt>
                <c:pt idx="3">
                  <c:v>1.0952726490038915</c:v>
                </c:pt>
                <c:pt idx="4">
                  <c:v>1.088050791453185</c:v>
                </c:pt>
                <c:pt idx="5">
                  <c:v>1.0806720760385438</c:v>
                </c:pt>
                <c:pt idx="6">
                  <c:v>1.0731949155615743</c:v>
                </c:pt>
                <c:pt idx="7">
                  <c:v>1.0657788700767237</c:v>
                </c:pt>
                <c:pt idx="8">
                  <c:v>1.058671515259086</c:v>
                </c:pt>
                <c:pt idx="9">
                  <c:v>1.0522091128091744</c:v>
                </c:pt>
                <c:pt idx="10">
                  <c:v>1.0469681506843671</c:v>
                </c:pt>
                <c:pt idx="11">
                  <c:v>1.0441492070744156</c:v>
                </c:pt>
                <c:pt idx="12">
                  <c:v>1.0420934251923846</c:v>
                </c:pt>
                <c:pt idx="13">
                  <c:v>1.0404521113425806</c:v>
                </c:pt>
                <c:pt idx="14">
                  <c:v>1.0389653428256762</c:v>
                </c:pt>
                <c:pt idx="15">
                  <c:v>1.03744542223726</c:v>
                </c:pt>
                <c:pt idx="16">
                  <c:v>1.0357626434474976</c:v>
                </c:pt>
                <c:pt idx="17">
                  <c:v>1.033856356428495</c:v>
                </c:pt>
                <c:pt idx="18">
                  <c:v>1.031698450801843</c:v>
                </c:pt>
                <c:pt idx="19">
                  <c:v>1.0292593668345498</c:v>
                </c:pt>
                <c:pt idx="20">
                  <c:v>1.0265261872241751</c:v>
                </c:pt>
                <c:pt idx="21">
                  <c:v>1.023499407814592</c:v>
                </c:pt>
                <c:pt idx="22">
                  <c:v>1.0201914077127152</c:v>
                </c:pt>
                <c:pt idx="23">
                  <c:v>1.0166265967894983</c:v>
                </c:pt>
                <c:pt idx="24">
                  <c:v>1.0128432426805771</c:v>
                </c:pt>
                <c:pt idx="25">
                  <c:v>1.0088970035617979</c:v>
                </c:pt>
                <c:pt idx="26">
                  <c:v>1.0048662175508611</c:v>
                </c:pt>
                <c:pt idx="27">
                  <c:v>1.0008590247695401</c:v>
                </c:pt>
                <c:pt idx="28">
                  <c:v>0.99702242450522405</c:v>
                </c:pt>
                <c:pt idx="29">
                  <c:v>0.99355339776700813</c:v>
                </c:pt>
                <c:pt idx="30">
                  <c:v>0.99071225522053985</c:v>
                </c:pt>
                <c:pt idx="31">
                  <c:v>0.9885761863564041</c:v>
                </c:pt>
                <c:pt idx="32">
                  <c:v>0.98720754101798769</c:v>
                </c:pt>
                <c:pt idx="33">
                  <c:v>0.98633357633298868</c:v>
                </c:pt>
                <c:pt idx="34">
                  <c:v>0.98576505994008312</c:v>
                </c:pt>
                <c:pt idx="35">
                  <c:v>0.98537556783525249</c:v>
                </c:pt>
                <c:pt idx="36">
                  <c:v>0.98508436237878694</c:v>
                </c:pt>
                <c:pt idx="37">
                  <c:v>0.98484722918968981</c:v>
                </c:pt>
                <c:pt idx="38">
                  <c:v>0.9846387384322578</c:v>
                </c:pt>
                <c:pt idx="39">
                  <c:v>0.98444225716509715</c:v>
                </c:pt>
                <c:pt idx="40">
                  <c:v>0.98424969043147814</c:v>
                </c:pt>
              </c:numCache>
            </c:numRef>
          </c:yVal>
          <c:smooth val="0"/>
          <c:extLst>
            <c:ext xmlns:c16="http://schemas.microsoft.com/office/drawing/2014/chart" uri="{C3380CC4-5D6E-409C-BE32-E72D297353CC}">
              <c16:uniqueId val="{00000000-8CB0-4CC8-ADE4-29E4301290B1}"/>
            </c:ext>
          </c:extLst>
        </c:ser>
        <c:ser>
          <c:idx val="0"/>
          <c:order val="1"/>
          <c:spPr>
            <a:ln w="38100">
              <a:solidFill>
                <a:schemeClr val="tx1"/>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Graphs!$N$6:$N$46</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1-8CB0-4CC8-ADE4-29E4301290B1}"/>
            </c:ext>
          </c:extLst>
        </c:ser>
        <c:dLbls>
          <c:showLegendKey val="0"/>
          <c:showVal val="0"/>
          <c:showCatName val="0"/>
          <c:showSerName val="0"/>
          <c:showPercent val="0"/>
          <c:showBubbleSize val="0"/>
        </c:dLbls>
        <c:axId val="251647488"/>
        <c:axId val="251649408"/>
      </c:scatterChart>
      <c:valAx>
        <c:axId val="251647488"/>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51649408"/>
        <c:crossesAt val="-10"/>
        <c:crossBetween val="midCat"/>
      </c:valAx>
      <c:valAx>
        <c:axId val="251649408"/>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Rotation (degrees)</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51647488"/>
        <c:crosses val="autoZero"/>
        <c:crossBetween val="midCat"/>
      </c:valAx>
    </c:plotArea>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Out-of-Plane Displacements</a:t>
            </a:r>
          </a:p>
        </c:rich>
      </c:tx>
      <c:overlay val="0"/>
    </c:title>
    <c:autoTitleDeleted val="0"/>
    <c:plotArea>
      <c:layout/>
      <c:scatterChart>
        <c:scatterStyle val="lineMarker"/>
        <c:varyColors val="0"/>
        <c:ser>
          <c:idx val="0"/>
          <c:order val="0"/>
          <c:tx>
            <c:v>Top of Girder</c:v>
          </c:tx>
          <c:spPr>
            <a:ln w="44450">
              <a:solidFill>
                <a:srgbClr val="0070C0"/>
              </a:solidFill>
            </a:ln>
          </c:spPr>
          <c:marker>
            <c:symbol val="circle"/>
            <c:size val="8"/>
            <c:spPr>
              <a:noFill/>
            </c:spPr>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Graphs!$K$6:$K$46</c:f>
              <c:numCache>
                <c:formatCode>General</c:formatCode>
                <c:ptCount val="41"/>
                <c:pt idx="0">
                  <c:v>1.1250193403828248</c:v>
                </c:pt>
                <c:pt idx="1">
                  <c:v>1.1406854889209255</c:v>
                </c:pt>
                <c:pt idx="2">
                  <c:v>1.1563980684027719</c:v>
                </c:pt>
                <c:pt idx="3">
                  <c:v>1.1721284260201383</c:v>
                </c:pt>
                <c:pt idx="4">
                  <c:v>1.1877960004882071</c:v>
                </c:pt>
                <c:pt idx="5">
                  <c:v>1.2032666307705129</c:v>
                </c:pt>
                <c:pt idx="6">
                  <c:v>1.2183179375212019</c:v>
                </c:pt>
                <c:pt idx="7">
                  <c:v>1.232611950736515</c:v>
                </c:pt>
                <c:pt idx="8">
                  <c:v>1.2458279841337772</c:v>
                </c:pt>
                <c:pt idx="9">
                  <c:v>1.2575846802985173</c:v>
                </c:pt>
                <c:pt idx="10">
                  <c:v>1.2671864485987945</c:v>
                </c:pt>
                <c:pt idx="11">
                  <c:v>1.272667027759907</c:v>
                </c:pt>
                <c:pt idx="12">
                  <c:v>1.2768057680175966</c:v>
                </c:pt>
                <c:pt idx="13">
                  <c:v>1.2799816924120724</c:v>
                </c:pt>
                <c:pt idx="14">
                  <c:v>1.2824961827776675</c:v>
                </c:pt>
                <c:pt idx="15">
                  <c:v>1.2845850439293749</c:v>
                </c:pt>
                <c:pt idx="16">
                  <c:v>1.2864288823049614</c:v>
                </c:pt>
                <c:pt idx="17">
                  <c:v>1.2881701320548262</c:v>
                </c:pt>
                <c:pt idx="18">
                  <c:v>1.2899067072263501</c:v>
                </c:pt>
                <c:pt idx="19">
                  <c:v>1.291696305823884</c:v>
                </c:pt>
                <c:pt idx="20">
                  <c:v>1.2935724771540833</c:v>
                </c:pt>
                <c:pt idx="21">
                  <c:v>1.2955469764369634</c:v>
                </c:pt>
                <c:pt idx="22">
                  <c:v>1.2976108803099216</c:v>
                </c:pt>
                <c:pt idx="23">
                  <c:v>1.2997344792782792</c:v>
                </c:pt>
                <c:pt idx="24">
                  <c:v>1.3018659455702679</c:v>
                </c:pt>
                <c:pt idx="25">
                  <c:v>1.3039287572385245</c:v>
                </c:pt>
                <c:pt idx="26">
                  <c:v>1.3058178414308494</c:v>
                </c:pt>
                <c:pt idx="27">
                  <c:v>1.3073943813908233</c:v>
                </c:pt>
                <c:pt idx="28">
                  <c:v>1.3084792124960467</c:v>
                </c:pt>
                <c:pt idx="29">
                  <c:v>1.3088447123294926</c:v>
                </c:pt>
                <c:pt idx="30">
                  <c:v>1.308205068129956</c:v>
                </c:pt>
                <c:pt idx="31">
                  <c:v>1.3061129439529808</c:v>
                </c:pt>
                <c:pt idx="32">
                  <c:v>1.30283605754665</c:v>
                </c:pt>
                <c:pt idx="33">
                  <c:v>1.2987082052465027</c:v>
                </c:pt>
                <c:pt idx="34">
                  <c:v>1.2939854133035615</c:v>
                </c:pt>
                <c:pt idx="35">
                  <c:v>1.2888610327320296</c:v>
                </c:pt>
                <c:pt idx="36">
                  <c:v>1.2834782237005544</c:v>
                </c:pt>
                <c:pt idx="37">
                  <c:v>1.2779252477420309</c:v>
                </c:pt>
                <c:pt idx="38">
                  <c:v>1.2722682273326098</c:v>
                </c:pt>
                <c:pt idx="39">
                  <c:v>1.2665646502773509</c:v>
                </c:pt>
                <c:pt idx="40">
                  <c:v>1.2608476349641107</c:v>
                </c:pt>
              </c:numCache>
            </c:numRef>
          </c:yVal>
          <c:smooth val="0"/>
          <c:extLst>
            <c:ext xmlns:c16="http://schemas.microsoft.com/office/drawing/2014/chart" uri="{C3380CC4-5D6E-409C-BE32-E72D297353CC}">
              <c16:uniqueId val="{00000000-6BA8-4C65-994B-6DD0E14FB350}"/>
            </c:ext>
          </c:extLst>
        </c:ser>
        <c:ser>
          <c:idx val="1"/>
          <c:order val="1"/>
          <c:tx>
            <c:v>Bottom of Girder</c:v>
          </c:tx>
          <c:spPr>
            <a:ln w="44450"/>
          </c:spPr>
          <c:marker>
            <c:symbol val="diamond"/>
            <c:size val="9"/>
            <c:spPr>
              <a:noFill/>
            </c:spPr>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Graphs!$L$6:$L$46</c:f>
              <c:numCache>
                <c:formatCode>General</c:formatCode>
                <c:ptCount val="41"/>
                <c:pt idx="0">
                  <c:v>1.3611125093171272</c:v>
                </c:pt>
                <c:pt idx="1">
                  <c:v>1.3706838259859024</c:v>
                </c:pt>
                <c:pt idx="2">
                  <c:v>1.3802189817393122</c:v>
                </c:pt>
                <c:pt idx="3">
                  <c:v>1.3896560371115856</c:v>
                </c:pt>
                <c:pt idx="4">
                  <c:v>1.3988953099081272</c:v>
                </c:pt>
                <c:pt idx="5">
                  <c:v>1.4077980158187591</c:v>
                </c:pt>
                <c:pt idx="6">
                  <c:v>1.4161937698301195</c:v>
                </c:pt>
                <c:pt idx="7">
                  <c:v>1.4238866292700183</c:v>
                </c:pt>
                <c:pt idx="8">
                  <c:v>1.4307762795051671</c:v>
                </c:pt>
                <c:pt idx="9">
                  <c:v>1.4367806758189867</c:v>
                </c:pt>
                <c:pt idx="10">
                  <c:v>1.4417173699729982</c:v>
                </c:pt>
                <c:pt idx="11">
                  <c:v>1.444688756957859</c:v>
                </c:pt>
                <c:pt idx="12">
                  <c:v>1.4469976089439323</c:v>
                </c:pt>
                <c:pt idx="13">
                  <c:v>1.4487125704793844</c:v>
                </c:pt>
                <c:pt idx="14">
                  <c:v>1.4499036615517606</c:v>
                </c:pt>
                <c:pt idx="15">
                  <c:v>1.4506396141550544</c:v>
                </c:pt>
                <c:pt idx="16">
                  <c:v>1.45098558097756</c:v>
                </c:pt>
                <c:pt idx="17">
                  <c:v>1.4510300104940705</c:v>
                </c:pt>
                <c:pt idx="18">
                  <c:v>1.4508457952025005</c:v>
                </c:pt>
                <c:pt idx="19">
                  <c:v>1.4504643214631283</c:v>
                </c:pt>
                <c:pt idx="20">
                  <c:v>1.4499076406669533</c:v>
                </c:pt>
                <c:pt idx="21">
                  <c:v>1.4491879494038258</c:v>
                </c:pt>
                <c:pt idx="22">
                  <c:v>1.4483073431905502</c:v>
                </c:pt>
                <c:pt idx="23">
                  <c:v>1.4472578402147773</c:v>
                </c:pt>
                <c:pt idx="24">
                  <c:v>1.4460216754351385</c:v>
                </c:pt>
                <c:pt idx="25">
                  <c:v>1.4445718692671585</c:v>
                </c:pt>
                <c:pt idx="26">
                  <c:v>1.4428730790405508</c:v>
                </c:pt>
                <c:pt idx="27">
                  <c:v>1.4408827454673623</c:v>
                </c:pt>
                <c:pt idx="28">
                  <c:v>1.4385525506109096</c:v>
                </c:pt>
                <c:pt idx="29">
                  <c:v>1.4358302083298295</c:v>
                </c:pt>
                <c:pt idx="30">
                  <c:v>1.4326616129511689</c:v>
                </c:pt>
                <c:pt idx="31">
                  <c:v>1.4286681362008591</c:v>
                </c:pt>
                <c:pt idx="32">
                  <c:v>1.4241729944678223</c:v>
                </c:pt>
                <c:pt idx="33">
                  <c:v>1.4192672108178803</c:v>
                </c:pt>
                <c:pt idx="34">
                  <c:v>1.4140383724318979</c:v>
                </c:pt>
                <c:pt idx="35">
                  <c:v>1.4085672980881452</c:v>
                </c:pt>
                <c:pt idx="36">
                  <c:v>1.4029252819599884</c:v>
                </c:pt>
                <c:pt idx="37">
                  <c:v>1.3971612295814986</c:v>
                </c:pt>
                <c:pt idx="38">
                  <c:v>1.3913186278846483</c:v>
                </c:pt>
                <c:pt idx="39">
                  <c:v>1.3854401594008621</c:v>
                </c:pt>
                <c:pt idx="40">
                  <c:v>1.3795517370547019</c:v>
                </c:pt>
              </c:numCache>
            </c:numRef>
          </c:yVal>
          <c:smooth val="0"/>
          <c:extLst>
            <c:ext xmlns:c16="http://schemas.microsoft.com/office/drawing/2014/chart" uri="{C3380CC4-5D6E-409C-BE32-E72D297353CC}">
              <c16:uniqueId val="{00000001-6BA8-4C65-994B-6DD0E14FB350}"/>
            </c:ext>
          </c:extLst>
        </c:ser>
        <c:ser>
          <c:idx val="2"/>
          <c:order val="2"/>
          <c:tx>
            <c:v>.</c:v>
          </c:tx>
          <c:spPr>
            <a:ln w="38100">
              <a:solidFill>
                <a:sysClr val="windowText" lastClr="000000"/>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Graphs!$N$6:$N$46</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2-6BA8-4C65-994B-6DD0E14FB350}"/>
            </c:ext>
          </c:extLst>
        </c:ser>
        <c:dLbls>
          <c:showLegendKey val="0"/>
          <c:showVal val="0"/>
          <c:showCatName val="0"/>
          <c:showSerName val="0"/>
          <c:showPercent val="0"/>
          <c:showBubbleSize val="0"/>
        </c:dLbls>
        <c:axId val="155069440"/>
        <c:axId val="155071616"/>
      </c:scatterChart>
      <c:valAx>
        <c:axId val="155069440"/>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155071616"/>
        <c:crossesAt val="-1000"/>
        <c:crossBetween val="midCat"/>
      </c:valAx>
      <c:valAx>
        <c:axId val="155071616"/>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Displacments (in)</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155069440"/>
        <c:crosses val="autoZero"/>
        <c:crossBetween val="midCat"/>
      </c:valAx>
    </c:plotArea>
    <c:legend>
      <c:legendPos val="b"/>
      <c:legendEntry>
        <c:idx val="2"/>
        <c:delete val="1"/>
      </c:legendEntry>
      <c:overlay val="0"/>
      <c:txPr>
        <a:bodyPr/>
        <a:lstStyle/>
        <a:p>
          <a:pPr>
            <a:defRPr sz="1280" b="0" i="0" u="none" strike="noStrike" baseline="0">
              <a:solidFill>
                <a:srgbClr val="000000"/>
              </a:solidFill>
              <a:latin typeface="Calibri"/>
              <a:ea typeface="Calibri"/>
              <a:cs typeface="Calibri"/>
            </a:defRPr>
          </a:pPr>
          <a:endParaRPr lang="en-US"/>
        </a:p>
      </c:txPr>
    </c:legend>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orientation="portrait"/>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5" Type="http://schemas.openxmlformats.org/officeDocument/2006/relationships/image" Target="../media/image24.emf"/><Relationship Id="rId4" Type="http://schemas.openxmlformats.org/officeDocument/2006/relationships/image" Target="../media/image23.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22224</xdr:colOff>
      <xdr:row>8</xdr:row>
      <xdr:rowOff>161926</xdr:rowOff>
    </xdr:from>
    <xdr:to>
      <xdr:col>3</xdr:col>
      <xdr:colOff>577006</xdr:colOff>
      <xdr:row>27</xdr:row>
      <xdr:rowOff>136525</xdr:rowOff>
    </xdr:to>
    <xdr:pic>
      <xdr:nvPicPr>
        <xdr:cNvPr id="2" name="Picture 1" descr="\\fsel-file.engr.utexas.edu\fsel\Projects\CurvedGirders-5574\Pictures\SH71- SH130 Airport\2007_03_17_Erection_TAH\DSC_0546.JPG">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srcRect/>
        <a:stretch>
          <a:fillRect/>
        </a:stretch>
      </xdr:blipFill>
      <xdr:spPr bwMode="auto">
        <a:xfrm>
          <a:off x="22224" y="2003426"/>
          <a:ext cx="5672882" cy="3835399"/>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304800</xdr:colOff>
      <xdr:row>2</xdr:row>
      <xdr:rowOff>0</xdr:rowOff>
    </xdr:from>
    <xdr:to>
      <xdr:col>5</xdr:col>
      <xdr:colOff>323850</xdr:colOff>
      <xdr:row>14</xdr:row>
      <xdr:rowOff>9525</xdr:rowOff>
    </xdr:to>
    <xdr:pic>
      <xdr:nvPicPr>
        <xdr:cNvPr id="1593296" name="Picture 94">
          <a:extLst>
            <a:ext uri="{FF2B5EF4-FFF2-40B4-BE49-F238E27FC236}">
              <a16:creationId xmlns:a16="http://schemas.microsoft.com/office/drawing/2014/main" id="{00000000-0008-0000-0100-0000D04F18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23900" y="428625"/>
          <a:ext cx="2533650" cy="2295525"/>
        </a:xfrm>
        <a:prstGeom prst="rect">
          <a:avLst/>
        </a:prstGeom>
        <a:noFill/>
        <a:ln w="9525">
          <a:noFill/>
          <a:miter lim="800000"/>
          <a:headEnd/>
          <a:tailEnd/>
        </a:ln>
      </xdr:spPr>
    </xdr:pic>
    <xdr:clientData/>
  </xdr:twoCellAnchor>
  <xdr:twoCellAnchor editAs="absolute">
    <xdr:from>
      <xdr:col>6</xdr:col>
      <xdr:colOff>104775</xdr:colOff>
      <xdr:row>1</xdr:row>
      <xdr:rowOff>0</xdr:rowOff>
    </xdr:from>
    <xdr:to>
      <xdr:col>10</xdr:col>
      <xdr:colOff>390525</xdr:colOff>
      <xdr:row>16</xdr:row>
      <xdr:rowOff>3077</xdr:rowOff>
    </xdr:to>
    <xdr:pic>
      <xdr:nvPicPr>
        <xdr:cNvPr id="1593297" name="Picture 630">
          <a:extLst>
            <a:ext uri="{FF2B5EF4-FFF2-40B4-BE49-F238E27FC236}">
              <a16:creationId xmlns:a16="http://schemas.microsoft.com/office/drawing/2014/main" id="{00000000-0008-0000-0100-0000D14F1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38550" y="238125"/>
          <a:ext cx="2676525" cy="2867025"/>
        </a:xfrm>
        <a:prstGeom prst="rect">
          <a:avLst/>
        </a:prstGeom>
        <a:noFill/>
        <a:ln w="9525">
          <a:noFill/>
          <a:miter lim="800000"/>
          <a:headEnd/>
          <a:tailEnd/>
        </a:ln>
      </xdr:spPr>
    </xdr:pic>
    <xdr:clientData/>
  </xdr:twoCellAnchor>
  <xdr:twoCellAnchor editAs="oneCell">
    <xdr:from>
      <xdr:col>9</xdr:col>
      <xdr:colOff>14816</xdr:colOff>
      <xdr:row>23</xdr:row>
      <xdr:rowOff>174627</xdr:rowOff>
    </xdr:from>
    <xdr:to>
      <xdr:col>11</xdr:col>
      <xdr:colOff>158607</xdr:colOff>
      <xdr:row>33</xdr:row>
      <xdr:rowOff>129252</xdr:rowOff>
    </xdr:to>
    <xdr:pic>
      <xdr:nvPicPr>
        <xdr:cNvPr id="1593298" name="Picture 1346">
          <a:extLst>
            <a:ext uri="{FF2B5EF4-FFF2-40B4-BE49-F238E27FC236}">
              <a16:creationId xmlns:a16="http://schemas.microsoft.com/office/drawing/2014/main" id="{00000000-0008-0000-0100-0000D24F1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359399" y="4757210"/>
          <a:ext cx="1265625" cy="1859625"/>
        </a:xfrm>
        <a:prstGeom prst="rect">
          <a:avLst/>
        </a:prstGeom>
        <a:noFill/>
        <a:ln w="9525">
          <a:noFill/>
          <a:miter lim="800000"/>
          <a:headEnd/>
          <a:tailEnd/>
        </a:ln>
      </xdr:spPr>
    </xdr:pic>
    <xdr:clientData/>
  </xdr:twoCellAnchor>
  <xdr:twoCellAnchor editAs="oneCell">
    <xdr:from>
      <xdr:col>1</xdr:col>
      <xdr:colOff>171450</xdr:colOff>
      <xdr:row>78</xdr:row>
      <xdr:rowOff>9525</xdr:rowOff>
    </xdr:from>
    <xdr:to>
      <xdr:col>8</xdr:col>
      <xdr:colOff>485775</xdr:colOff>
      <xdr:row>91</xdr:row>
      <xdr:rowOff>123825</xdr:rowOff>
    </xdr:to>
    <xdr:pic>
      <xdr:nvPicPr>
        <xdr:cNvPr id="1593299" name="Picture 1347">
          <a:extLst>
            <a:ext uri="{FF2B5EF4-FFF2-40B4-BE49-F238E27FC236}">
              <a16:creationId xmlns:a16="http://schemas.microsoft.com/office/drawing/2014/main" id="{00000000-0008-0000-0100-0000D34F18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88169" y="16011525"/>
          <a:ext cx="4612481" cy="25908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0</xdr:colOff>
          <xdr:row>183</xdr:row>
          <xdr:rowOff>106680</xdr:rowOff>
        </xdr:from>
        <xdr:to>
          <xdr:col>3</xdr:col>
          <xdr:colOff>632460</xdr:colOff>
          <xdr:row>185</xdr:row>
          <xdr:rowOff>121920</xdr:rowOff>
        </xdr:to>
        <xdr:sp macro="" textlink="">
          <xdr:nvSpPr>
            <xdr:cNvPr id="1117" name="Cal_Rotation_Stress"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441960</xdr:colOff>
          <xdr:row>56</xdr:row>
          <xdr:rowOff>190500</xdr:rowOff>
        </xdr:from>
        <xdr:to>
          <xdr:col>10</xdr:col>
          <xdr:colOff>426720</xdr:colOff>
          <xdr:row>58</xdr:row>
          <xdr:rowOff>30480</xdr:rowOff>
        </xdr:to>
        <xdr:sp macro="" textlink="">
          <xdr:nvSpPr>
            <xdr:cNvPr id="181405" name="All_Both" hidden="1">
              <a:extLst>
                <a:ext uri="{63B3BB69-23CF-44E3-9099-C40C66FF867C}">
                  <a14:compatExt spid="_x0000_s181405"/>
                </a:ext>
                <a:ext uri="{FF2B5EF4-FFF2-40B4-BE49-F238E27FC236}">
                  <a16:creationId xmlns:a16="http://schemas.microsoft.com/office/drawing/2014/main" id="{00000000-0008-0000-0100-00009D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297180</xdr:colOff>
          <xdr:row>56</xdr:row>
          <xdr:rowOff>213360</xdr:rowOff>
        </xdr:from>
        <xdr:to>
          <xdr:col>9</xdr:col>
          <xdr:colOff>274320</xdr:colOff>
          <xdr:row>58</xdr:row>
          <xdr:rowOff>45720</xdr:rowOff>
        </xdr:to>
        <xdr:sp macro="" textlink="">
          <xdr:nvSpPr>
            <xdr:cNvPr id="181404" name="All_Outside" hidden="1">
              <a:extLst>
                <a:ext uri="{63B3BB69-23CF-44E3-9099-C40C66FF867C}">
                  <a14:compatExt spid="_x0000_s181404"/>
                </a:ext>
                <a:ext uri="{FF2B5EF4-FFF2-40B4-BE49-F238E27FC236}">
                  <a16:creationId xmlns:a16="http://schemas.microsoft.com/office/drawing/2014/main" id="{00000000-0008-0000-0100-00009C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56</xdr:row>
          <xdr:rowOff>213360</xdr:rowOff>
        </xdr:from>
        <xdr:to>
          <xdr:col>8</xdr:col>
          <xdr:colOff>60960</xdr:colOff>
          <xdr:row>58</xdr:row>
          <xdr:rowOff>45720</xdr:rowOff>
        </xdr:to>
        <xdr:sp macro="" textlink="">
          <xdr:nvSpPr>
            <xdr:cNvPr id="181403" name="All_Inside" hidden="1">
              <a:extLst>
                <a:ext uri="{63B3BB69-23CF-44E3-9099-C40C66FF867C}">
                  <a14:compatExt spid="_x0000_s181403"/>
                </a:ext>
                <a:ext uri="{FF2B5EF4-FFF2-40B4-BE49-F238E27FC236}">
                  <a16:creationId xmlns:a16="http://schemas.microsoft.com/office/drawing/2014/main" id="{00000000-0008-0000-0100-00009B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55</xdr:row>
          <xdr:rowOff>99060</xdr:rowOff>
        </xdr:from>
        <xdr:to>
          <xdr:col>6</xdr:col>
          <xdr:colOff>365760</xdr:colOff>
          <xdr:row>58</xdr:row>
          <xdr:rowOff>60960</xdr:rowOff>
        </xdr:to>
        <xdr:sp macro="" textlink="">
          <xdr:nvSpPr>
            <xdr:cNvPr id="2011" name="Constant_Space_Macro" hidden="1">
              <a:extLst>
                <a:ext uri="{63B3BB69-23CF-44E3-9099-C40C66FF867C}">
                  <a14:compatExt spid="_x0000_s2011"/>
                </a:ext>
                <a:ext uri="{FF2B5EF4-FFF2-40B4-BE49-F238E27FC236}">
                  <a16:creationId xmlns:a16="http://schemas.microsoft.com/office/drawing/2014/main" id="{00000000-0008-0000-01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198120</xdr:rowOff>
        </xdr:from>
        <xdr:to>
          <xdr:col>7</xdr:col>
          <xdr:colOff>502920</xdr:colOff>
          <xdr:row>17</xdr:row>
          <xdr:rowOff>175260</xdr:rowOff>
        </xdr:to>
        <xdr:sp macro="" textlink="">
          <xdr:nvSpPr>
            <xdr:cNvPr id="181384" name="Clear_Input" hidden="1">
              <a:extLst>
                <a:ext uri="{63B3BB69-23CF-44E3-9099-C40C66FF867C}">
                  <a14:compatExt spid="_x0000_s181384"/>
                </a:ext>
                <a:ext uri="{FF2B5EF4-FFF2-40B4-BE49-F238E27FC236}">
                  <a16:creationId xmlns:a16="http://schemas.microsoft.com/office/drawing/2014/main" id="{00000000-0008-0000-0100-000088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251460</xdr:colOff>
          <xdr:row>50</xdr:row>
          <xdr:rowOff>7620</xdr:rowOff>
        </xdr:from>
        <xdr:to>
          <xdr:col>10</xdr:col>
          <xdr:colOff>426720</xdr:colOff>
          <xdr:row>53</xdr:row>
          <xdr:rowOff>22860</xdr:rowOff>
        </xdr:to>
        <xdr:sp macro="" textlink="">
          <xdr:nvSpPr>
            <xdr:cNvPr id="1593110" name="Constant_Weight_Macro" hidden="1">
              <a:extLst>
                <a:ext uri="{63B3BB69-23CF-44E3-9099-C40C66FF867C}">
                  <a14:compatExt spid="_x0000_s1593110"/>
                </a:ext>
                <a:ext uri="{FF2B5EF4-FFF2-40B4-BE49-F238E27FC236}">
                  <a16:creationId xmlns:a16="http://schemas.microsoft.com/office/drawing/2014/main" id="{00000000-0008-0000-0100-0000164F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95250</xdr:colOff>
      <xdr:row>1</xdr:row>
      <xdr:rowOff>0</xdr:rowOff>
    </xdr:from>
    <xdr:to>
      <xdr:col>11</xdr:col>
      <xdr:colOff>495300</xdr:colOff>
      <xdr:row>20</xdr:row>
      <xdr:rowOff>123825</xdr:rowOff>
    </xdr:to>
    <xdr:pic>
      <xdr:nvPicPr>
        <xdr:cNvPr id="1716793" name="Picture 849">
          <a:extLst>
            <a:ext uri="{FF2B5EF4-FFF2-40B4-BE49-F238E27FC236}">
              <a16:creationId xmlns:a16="http://schemas.microsoft.com/office/drawing/2014/main" id="{00000000-0008-0000-0200-000039321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028950" y="238125"/>
          <a:ext cx="3543300" cy="3990975"/>
        </a:xfrm>
        <a:prstGeom prst="rect">
          <a:avLst/>
        </a:prstGeom>
        <a:noFill/>
        <a:ln w="9525">
          <a:noFill/>
          <a:miter lim="800000"/>
          <a:headEnd/>
          <a:tailEnd/>
        </a:ln>
      </xdr:spPr>
    </xdr:pic>
    <xdr:clientData/>
  </xdr:twoCellAnchor>
  <xdr:twoCellAnchor editAs="oneCell">
    <xdr:from>
      <xdr:col>6</xdr:col>
      <xdr:colOff>0</xdr:colOff>
      <xdr:row>25</xdr:row>
      <xdr:rowOff>76200</xdr:rowOff>
    </xdr:from>
    <xdr:to>
      <xdr:col>11</xdr:col>
      <xdr:colOff>57150</xdr:colOff>
      <xdr:row>45</xdr:row>
      <xdr:rowOff>104775</xdr:rowOff>
    </xdr:to>
    <xdr:pic>
      <xdr:nvPicPr>
        <xdr:cNvPr id="1716794" name="Picture 866">
          <a:extLst>
            <a:ext uri="{FF2B5EF4-FFF2-40B4-BE49-F238E27FC236}">
              <a16:creationId xmlns:a16="http://schemas.microsoft.com/office/drawing/2014/main" id="{00000000-0008-0000-0200-00003A321A00}"/>
            </a:ext>
          </a:extLst>
        </xdr:cNvPr>
        <xdr:cNvPicPr>
          <a:picLocks noChangeAspect="1" noChangeArrowheads="1"/>
        </xdr:cNvPicPr>
      </xdr:nvPicPr>
      <xdr:blipFill>
        <a:blip xmlns:r="http://schemas.openxmlformats.org/officeDocument/2006/relationships" r:embed="rId2" cstate="print"/>
        <a:srcRect t="2657"/>
        <a:stretch>
          <a:fillRect/>
        </a:stretch>
      </xdr:blipFill>
      <xdr:spPr bwMode="auto">
        <a:xfrm>
          <a:off x="3533775" y="5257800"/>
          <a:ext cx="2600325" cy="4010025"/>
        </a:xfrm>
        <a:prstGeom prst="rect">
          <a:avLst/>
        </a:prstGeom>
        <a:noFill/>
        <a:ln w="9525">
          <a:noFill/>
          <a:miter lim="800000"/>
          <a:headEnd/>
          <a:tailEnd/>
        </a:ln>
      </xdr:spPr>
    </xdr:pic>
    <xdr:clientData/>
  </xdr:twoCellAnchor>
  <xdr:twoCellAnchor>
    <xdr:from>
      <xdr:col>2</xdr:col>
      <xdr:colOff>28575</xdr:colOff>
      <xdr:row>21</xdr:row>
      <xdr:rowOff>66675</xdr:rowOff>
    </xdr:from>
    <xdr:to>
      <xdr:col>2</xdr:col>
      <xdr:colOff>314325</xdr:colOff>
      <xdr:row>21</xdr:row>
      <xdr:rowOff>257175</xdr:rowOff>
    </xdr:to>
    <xdr:pic>
      <xdr:nvPicPr>
        <xdr:cNvPr id="1716795" name="Picture 918">
          <a:extLst>
            <a:ext uri="{FF2B5EF4-FFF2-40B4-BE49-F238E27FC236}">
              <a16:creationId xmlns:a16="http://schemas.microsoft.com/office/drawing/2014/main" id="{00000000-0008-0000-0200-00003B321A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076325" y="4362450"/>
          <a:ext cx="285750" cy="190500"/>
        </a:xfrm>
        <a:prstGeom prst="rect">
          <a:avLst/>
        </a:prstGeom>
        <a:noFill/>
        <a:ln w="9525">
          <a:noFill/>
          <a:miter lim="800000"/>
          <a:headEnd/>
          <a:tailEnd/>
        </a:ln>
      </xdr:spPr>
    </xdr:pic>
    <xdr:clientData/>
  </xdr:twoCellAnchor>
  <xdr:twoCellAnchor>
    <xdr:from>
      <xdr:col>2</xdr:col>
      <xdr:colOff>171450</xdr:colOff>
      <xdr:row>9</xdr:row>
      <xdr:rowOff>47625</xdr:rowOff>
    </xdr:from>
    <xdr:to>
      <xdr:col>2</xdr:col>
      <xdr:colOff>257175</xdr:colOff>
      <xdr:row>9</xdr:row>
      <xdr:rowOff>238125</xdr:rowOff>
    </xdr:to>
    <xdr:pic>
      <xdr:nvPicPr>
        <xdr:cNvPr id="1716796" name="Picture 935">
          <a:extLst>
            <a:ext uri="{FF2B5EF4-FFF2-40B4-BE49-F238E27FC236}">
              <a16:creationId xmlns:a16="http://schemas.microsoft.com/office/drawing/2014/main" id="{00000000-0008-0000-0200-00003C321A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1219200" y="1819275"/>
          <a:ext cx="85725" cy="190500"/>
        </a:xfrm>
        <a:prstGeom prst="rect">
          <a:avLst/>
        </a:prstGeom>
        <a:noFill/>
        <a:ln w="9525">
          <a:noFill/>
          <a:miter lim="800000"/>
          <a:headEnd/>
          <a:tailEnd/>
        </a:ln>
      </xdr:spPr>
    </xdr:pic>
    <xdr:clientData/>
  </xdr:twoCellAnchor>
  <xdr:twoCellAnchor>
    <xdr:from>
      <xdr:col>2</xdr:col>
      <xdr:colOff>161925</xdr:colOff>
      <xdr:row>12</xdr:row>
      <xdr:rowOff>57150</xdr:rowOff>
    </xdr:from>
    <xdr:to>
      <xdr:col>2</xdr:col>
      <xdr:colOff>238125</xdr:colOff>
      <xdr:row>12</xdr:row>
      <xdr:rowOff>247650</xdr:rowOff>
    </xdr:to>
    <xdr:pic>
      <xdr:nvPicPr>
        <xdr:cNvPr id="1716797" name="Picture 936">
          <a:extLst>
            <a:ext uri="{FF2B5EF4-FFF2-40B4-BE49-F238E27FC236}">
              <a16:creationId xmlns:a16="http://schemas.microsoft.com/office/drawing/2014/main" id="{00000000-0008-0000-0200-00003D321A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1209675" y="2476500"/>
          <a:ext cx="76200" cy="190500"/>
        </a:xfrm>
        <a:prstGeom prst="rect">
          <a:avLst/>
        </a:prstGeom>
        <a:noFill/>
        <a:ln w="9525">
          <a:noFill/>
          <a:miter lim="800000"/>
          <a:headEnd/>
          <a:tailEnd/>
        </a:ln>
      </xdr:spPr>
    </xdr:pic>
    <xdr:clientData/>
  </xdr:twoCellAnchor>
  <xdr:twoCellAnchor>
    <xdr:from>
      <xdr:col>2</xdr:col>
      <xdr:colOff>133350</xdr:colOff>
      <xdr:row>15</xdr:row>
      <xdr:rowOff>66675</xdr:rowOff>
    </xdr:from>
    <xdr:to>
      <xdr:col>2</xdr:col>
      <xdr:colOff>238125</xdr:colOff>
      <xdr:row>16</xdr:row>
      <xdr:rowOff>9525</xdr:rowOff>
    </xdr:to>
    <xdr:pic>
      <xdr:nvPicPr>
        <xdr:cNvPr id="1716798" name="Picture 937">
          <a:extLst>
            <a:ext uri="{FF2B5EF4-FFF2-40B4-BE49-F238E27FC236}">
              <a16:creationId xmlns:a16="http://schemas.microsoft.com/office/drawing/2014/main" id="{00000000-0008-0000-0200-00003E321A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1181100" y="3133725"/>
          <a:ext cx="104775" cy="1905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38100</xdr:colOff>
      <xdr:row>52</xdr:row>
      <xdr:rowOff>47625</xdr:rowOff>
    </xdr:from>
    <xdr:to>
      <xdr:col>7</xdr:col>
      <xdr:colOff>161925</xdr:colOff>
      <xdr:row>64</xdr:row>
      <xdr:rowOff>19050</xdr:rowOff>
    </xdr:to>
    <xdr:pic>
      <xdr:nvPicPr>
        <xdr:cNvPr id="1717681" name="Picture 90">
          <a:extLst>
            <a:ext uri="{FF2B5EF4-FFF2-40B4-BE49-F238E27FC236}">
              <a16:creationId xmlns:a16="http://schemas.microsoft.com/office/drawing/2014/main" id="{00000000-0008-0000-0300-0000B1351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371725" y="10601325"/>
          <a:ext cx="1924050" cy="2257425"/>
        </a:xfrm>
        <a:prstGeom prst="rect">
          <a:avLst/>
        </a:prstGeom>
        <a:noFill/>
        <a:ln w="9525">
          <a:noFill/>
          <a:miter lim="800000"/>
          <a:headEnd/>
          <a:tailEnd/>
        </a:ln>
      </xdr:spPr>
    </xdr:pic>
    <xdr:clientData/>
  </xdr:twoCellAnchor>
  <xdr:twoCellAnchor editAs="oneCell">
    <xdr:from>
      <xdr:col>7</xdr:col>
      <xdr:colOff>142875</xdr:colOff>
      <xdr:row>52</xdr:row>
      <xdr:rowOff>85725</xdr:rowOff>
    </xdr:from>
    <xdr:to>
      <xdr:col>11</xdr:col>
      <xdr:colOff>495300</xdr:colOff>
      <xdr:row>63</xdr:row>
      <xdr:rowOff>9525</xdr:rowOff>
    </xdr:to>
    <xdr:pic>
      <xdr:nvPicPr>
        <xdr:cNvPr id="1717682" name="Picture 91">
          <a:extLst>
            <a:ext uri="{FF2B5EF4-FFF2-40B4-BE49-F238E27FC236}">
              <a16:creationId xmlns:a16="http://schemas.microsoft.com/office/drawing/2014/main" id="{00000000-0008-0000-0300-0000B2351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276725" y="10639425"/>
          <a:ext cx="2295525" cy="2019300"/>
        </a:xfrm>
        <a:prstGeom prst="rect">
          <a:avLst/>
        </a:prstGeom>
        <a:noFill/>
        <a:ln w="9525">
          <a:noFill/>
          <a:miter lim="800000"/>
          <a:headEnd/>
          <a:tailEnd/>
        </a:ln>
      </xdr:spPr>
    </xdr:pic>
    <xdr:clientData/>
  </xdr:twoCellAnchor>
  <xdr:twoCellAnchor editAs="oneCell">
    <xdr:from>
      <xdr:col>6</xdr:col>
      <xdr:colOff>57150</xdr:colOff>
      <xdr:row>14</xdr:row>
      <xdr:rowOff>76200</xdr:rowOff>
    </xdr:from>
    <xdr:to>
      <xdr:col>9</xdr:col>
      <xdr:colOff>571500</xdr:colOff>
      <xdr:row>38</xdr:row>
      <xdr:rowOff>0</xdr:rowOff>
    </xdr:to>
    <xdr:pic>
      <xdr:nvPicPr>
        <xdr:cNvPr id="1717683" name="Picture 102">
          <a:extLst>
            <a:ext uri="{FF2B5EF4-FFF2-40B4-BE49-F238E27FC236}">
              <a16:creationId xmlns:a16="http://schemas.microsoft.com/office/drawing/2014/main" id="{00000000-0008-0000-0300-0000B3351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90925" y="2905125"/>
          <a:ext cx="2314575" cy="4933950"/>
        </a:xfrm>
        <a:prstGeom prst="rect">
          <a:avLst/>
        </a:prstGeom>
        <a:noFill/>
        <a:ln w="9525">
          <a:noFill/>
          <a:miter lim="800000"/>
          <a:headEnd/>
          <a:tailEnd/>
        </a:ln>
      </xdr:spPr>
    </xdr:pic>
    <xdr:clientData/>
  </xdr:twoCellAnchor>
  <xdr:twoCellAnchor editAs="oneCell">
    <xdr:from>
      <xdr:col>0</xdr:col>
      <xdr:colOff>314325</xdr:colOff>
      <xdr:row>2</xdr:row>
      <xdr:rowOff>0</xdr:rowOff>
    </xdr:from>
    <xdr:to>
      <xdr:col>10</xdr:col>
      <xdr:colOff>123825</xdr:colOff>
      <xdr:row>14</xdr:row>
      <xdr:rowOff>9525</xdr:rowOff>
    </xdr:to>
    <xdr:pic>
      <xdr:nvPicPr>
        <xdr:cNvPr id="1717684" name="Picture 105">
          <a:extLst>
            <a:ext uri="{FF2B5EF4-FFF2-40B4-BE49-F238E27FC236}">
              <a16:creationId xmlns:a16="http://schemas.microsoft.com/office/drawing/2014/main" id="{00000000-0008-0000-0300-0000B4351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14325" y="428625"/>
          <a:ext cx="5734050" cy="2409825"/>
        </a:xfrm>
        <a:prstGeom prst="rect">
          <a:avLst/>
        </a:prstGeom>
        <a:noFill/>
        <a:ln w="9525">
          <a:noFill/>
          <a:miter lim="800000"/>
          <a:headEnd/>
          <a:tailEnd/>
        </a:ln>
      </xdr:spPr>
    </xdr:pic>
    <xdr:clientData/>
  </xdr:twoCellAnchor>
  <xdr:twoCellAnchor editAs="oneCell">
    <xdr:from>
      <xdr:col>0</xdr:col>
      <xdr:colOff>0</xdr:colOff>
      <xdr:row>52</xdr:row>
      <xdr:rowOff>0</xdr:rowOff>
    </xdr:from>
    <xdr:to>
      <xdr:col>4</xdr:col>
      <xdr:colOff>342900</xdr:colOff>
      <xdr:row>62</xdr:row>
      <xdr:rowOff>19050</xdr:rowOff>
    </xdr:to>
    <xdr:pic>
      <xdr:nvPicPr>
        <xdr:cNvPr id="1717685" name="Picture 917">
          <a:extLst>
            <a:ext uri="{FF2B5EF4-FFF2-40B4-BE49-F238E27FC236}">
              <a16:creationId xmlns:a16="http://schemas.microsoft.com/office/drawing/2014/main" id="{00000000-0008-0000-0300-0000B5351A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0" y="10553700"/>
          <a:ext cx="2676525" cy="1924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30480</xdr:colOff>
          <xdr:row>35</xdr:row>
          <xdr:rowOff>175260</xdr:rowOff>
        </xdr:from>
        <xdr:to>
          <xdr:col>4</xdr:col>
          <xdr:colOff>259080</xdr:colOff>
          <xdr:row>39</xdr:row>
          <xdr:rowOff>0</xdr:rowOff>
        </xdr:to>
        <xdr:sp macro="" textlink="">
          <xdr:nvSpPr>
            <xdr:cNvPr id="1717260" name="CalculateRotationStress" hidden="1">
              <a:extLst>
                <a:ext uri="{63B3BB69-23CF-44E3-9099-C40C66FF867C}">
                  <a14:compatExt spid="_x0000_s1717260"/>
                </a:ext>
                <a:ext uri="{FF2B5EF4-FFF2-40B4-BE49-F238E27FC236}">
                  <a16:creationId xmlns:a16="http://schemas.microsoft.com/office/drawing/2014/main" id="{00000000-0008-0000-0300-00000C341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18</xdr:col>
      <xdr:colOff>133350</xdr:colOff>
      <xdr:row>42</xdr:row>
      <xdr:rowOff>85725</xdr:rowOff>
    </xdr:from>
    <xdr:to>
      <xdr:col>26</xdr:col>
      <xdr:colOff>561975</xdr:colOff>
      <xdr:row>64</xdr:row>
      <xdr:rowOff>19050</xdr:rowOff>
    </xdr:to>
    <xdr:graphicFrame macro="">
      <xdr:nvGraphicFramePr>
        <xdr:cNvPr id="1101561" name="Chart 2">
          <a:extLst>
            <a:ext uri="{FF2B5EF4-FFF2-40B4-BE49-F238E27FC236}">
              <a16:creationId xmlns:a16="http://schemas.microsoft.com/office/drawing/2014/main" id="{00000000-0008-0000-0400-0000F9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133350</xdr:colOff>
      <xdr:row>20</xdr:row>
      <xdr:rowOff>114300</xdr:rowOff>
    </xdr:from>
    <xdr:to>
      <xdr:col>26</xdr:col>
      <xdr:colOff>542925</xdr:colOff>
      <xdr:row>42</xdr:row>
      <xdr:rowOff>47625</xdr:rowOff>
    </xdr:to>
    <xdr:graphicFrame macro="">
      <xdr:nvGraphicFramePr>
        <xdr:cNvPr id="1101562" name="Chart 3">
          <a:extLst>
            <a:ext uri="{FF2B5EF4-FFF2-40B4-BE49-F238E27FC236}">
              <a16:creationId xmlns:a16="http://schemas.microsoft.com/office/drawing/2014/main" id="{00000000-0008-0000-0400-0000FA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133350</xdr:colOff>
      <xdr:row>0</xdr:row>
      <xdr:rowOff>114300</xdr:rowOff>
    </xdr:from>
    <xdr:to>
      <xdr:col>26</xdr:col>
      <xdr:colOff>542925</xdr:colOff>
      <xdr:row>20</xdr:row>
      <xdr:rowOff>47625</xdr:rowOff>
    </xdr:to>
    <xdr:graphicFrame macro="">
      <xdr:nvGraphicFramePr>
        <xdr:cNvPr id="1101563" name="Chart 4">
          <a:extLst>
            <a:ext uri="{FF2B5EF4-FFF2-40B4-BE49-F238E27FC236}">
              <a16:creationId xmlns:a16="http://schemas.microsoft.com/office/drawing/2014/main" id="{00000000-0008-0000-0400-0000FB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0.64741</cdr:y>
    </cdr:from>
    <cdr:to>
      <cdr:x>0.12866</cdr:x>
      <cdr:y>1</cdr:y>
    </cdr:to>
    <cdr:pic>
      <cdr:nvPicPr>
        <cdr:cNvPr id="30" name="chart">
          <a:extLst xmlns:a="http://schemas.openxmlformats.org/drawingml/2006/main">
            <a:ext uri="{FF2B5EF4-FFF2-40B4-BE49-F238E27FC236}">
              <a16:creationId xmlns:a16="http://schemas.microsoft.com/office/drawing/2014/main" id="{0E05205C-3BD3-4B41-8547-F738FE9C174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2715821"/>
          <a:ext cx="923624" cy="146316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helwig@mail.utexas.edu"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19.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40"/>
  <sheetViews>
    <sheetView view="pageBreakPreview" topLeftCell="A25" zoomScale="130" zoomScaleNormal="100" zoomScaleSheetLayoutView="130" workbookViewId="0">
      <selection activeCell="B3" sqref="B3"/>
    </sheetView>
  </sheetViews>
  <sheetFormatPr defaultRowHeight="14.4" x14ac:dyDescent="0.3"/>
  <cols>
    <col min="2" max="2" width="58.44140625" bestFit="1" customWidth="1"/>
  </cols>
  <sheetData>
    <row r="1" spans="1:4" x14ac:dyDescent="0.3">
      <c r="A1" s="1"/>
      <c r="C1" s="1"/>
      <c r="D1" s="1"/>
    </row>
    <row r="2" spans="1:4" x14ac:dyDescent="0.3">
      <c r="A2" s="1"/>
      <c r="B2" t="s">
        <v>192</v>
      </c>
      <c r="C2" s="1"/>
      <c r="D2" s="1"/>
    </row>
    <row r="3" spans="1:4" x14ac:dyDescent="0.3">
      <c r="A3" s="1"/>
      <c r="C3" s="1"/>
      <c r="D3" s="1"/>
    </row>
    <row r="4" spans="1:4" s="88" customFormat="1" x14ac:dyDescent="0.3">
      <c r="A4" s="1"/>
      <c r="B4" s="1"/>
      <c r="C4" s="1"/>
      <c r="D4" s="1"/>
    </row>
    <row r="5" spans="1:4" x14ac:dyDescent="0.3">
      <c r="A5" s="1"/>
      <c r="B5" t="s">
        <v>180</v>
      </c>
      <c r="C5" s="1"/>
      <c r="D5" s="1"/>
    </row>
    <row r="6" spans="1:4" x14ac:dyDescent="0.3">
      <c r="A6" s="1"/>
      <c r="B6" t="s">
        <v>179</v>
      </c>
      <c r="C6" s="1"/>
      <c r="D6" s="1"/>
    </row>
    <row r="7" spans="1:4" x14ac:dyDescent="0.3">
      <c r="A7" s="1"/>
      <c r="C7" s="1"/>
      <c r="D7" s="1"/>
    </row>
    <row r="8" spans="1:4" x14ac:dyDescent="0.3">
      <c r="A8" s="1"/>
      <c r="B8" t="s">
        <v>172</v>
      </c>
      <c r="C8" s="1"/>
      <c r="D8" s="1"/>
    </row>
    <row r="9" spans="1:4" x14ac:dyDescent="0.3">
      <c r="A9" s="1"/>
      <c r="C9" s="1"/>
      <c r="D9" s="1"/>
    </row>
    <row r="10" spans="1:4" x14ac:dyDescent="0.3">
      <c r="A10" s="1"/>
      <c r="C10" s="1"/>
      <c r="D10" s="1"/>
    </row>
    <row r="11" spans="1:4" x14ac:dyDescent="0.3">
      <c r="A11" s="1"/>
      <c r="C11" s="1"/>
      <c r="D11" s="1"/>
    </row>
    <row r="12" spans="1:4" x14ac:dyDescent="0.3">
      <c r="A12" s="1"/>
      <c r="C12" s="1"/>
      <c r="D12" s="1"/>
    </row>
    <row r="13" spans="1:4" x14ac:dyDescent="0.3">
      <c r="A13" s="1"/>
      <c r="C13" s="1"/>
      <c r="D13" s="1"/>
    </row>
    <row r="14" spans="1:4" x14ac:dyDescent="0.3">
      <c r="A14" s="1"/>
      <c r="C14" s="1"/>
      <c r="D14" s="1"/>
    </row>
    <row r="15" spans="1:4" x14ac:dyDescent="0.3">
      <c r="A15" s="1"/>
      <c r="C15" s="1"/>
      <c r="D15" s="1"/>
    </row>
    <row r="16" spans="1:4" x14ac:dyDescent="0.3">
      <c r="A16" s="1"/>
      <c r="C16" s="1"/>
      <c r="D16" s="1"/>
    </row>
    <row r="17" spans="1:4" x14ac:dyDescent="0.3">
      <c r="A17" s="1"/>
      <c r="C17" s="1"/>
      <c r="D17" s="1"/>
    </row>
    <row r="18" spans="1:4" x14ac:dyDescent="0.3">
      <c r="A18" s="1"/>
      <c r="C18" s="1"/>
      <c r="D18" s="1"/>
    </row>
    <row r="19" spans="1:4" x14ac:dyDescent="0.3">
      <c r="A19" s="1"/>
      <c r="C19" s="1"/>
      <c r="D19" s="1"/>
    </row>
    <row r="20" spans="1:4" x14ac:dyDescent="0.3">
      <c r="A20" s="1"/>
      <c r="C20" s="1"/>
      <c r="D20" s="1"/>
    </row>
    <row r="21" spans="1:4" x14ac:dyDescent="0.3">
      <c r="A21" s="1"/>
      <c r="C21" s="1"/>
      <c r="D21" s="1"/>
    </row>
    <row r="22" spans="1:4" x14ac:dyDescent="0.3">
      <c r="A22" s="1"/>
      <c r="C22" s="1"/>
      <c r="D22" s="1"/>
    </row>
    <row r="23" spans="1:4" x14ac:dyDescent="0.3">
      <c r="A23" s="1"/>
      <c r="C23" s="1"/>
      <c r="D23" s="1"/>
    </row>
    <row r="24" spans="1:4" x14ac:dyDescent="0.3">
      <c r="A24" s="1"/>
      <c r="C24" s="1"/>
      <c r="D24" s="1"/>
    </row>
    <row r="25" spans="1:4" x14ac:dyDescent="0.3">
      <c r="A25" s="1"/>
      <c r="C25" s="1"/>
      <c r="D25" s="1"/>
    </row>
    <row r="26" spans="1:4" s="88" customFormat="1" x14ac:dyDescent="0.3">
      <c r="A26" s="1"/>
      <c r="B26"/>
      <c r="C26" s="1"/>
      <c r="D26" s="1"/>
    </row>
    <row r="27" spans="1:4" s="88" customFormat="1" x14ac:dyDescent="0.3">
      <c r="A27" s="1"/>
      <c r="B27"/>
      <c r="C27" s="1"/>
      <c r="D27" s="1"/>
    </row>
    <row r="28" spans="1:4" s="88" customFormat="1" x14ac:dyDescent="0.3">
      <c r="A28" s="1"/>
      <c r="B28"/>
      <c r="C28" s="1"/>
      <c r="D28" s="1"/>
    </row>
    <row r="29" spans="1:4" x14ac:dyDescent="0.3">
      <c r="A29" s="1"/>
      <c r="C29" s="1"/>
      <c r="D29" s="1"/>
    </row>
    <row r="30" spans="1:4" x14ac:dyDescent="0.3">
      <c r="A30" s="1"/>
      <c r="B30" t="s">
        <v>177</v>
      </c>
      <c r="C30" s="1"/>
      <c r="D30" s="1"/>
    </row>
    <row r="31" spans="1:4" x14ac:dyDescent="0.3">
      <c r="A31" s="1"/>
      <c r="B31" t="s">
        <v>191</v>
      </c>
      <c r="C31" s="1"/>
      <c r="D31" s="1"/>
    </row>
    <row r="32" spans="1:4" x14ac:dyDescent="0.3">
      <c r="A32" s="1"/>
      <c r="C32" s="1"/>
      <c r="D32" s="1"/>
    </row>
    <row r="33" spans="1:4" x14ac:dyDescent="0.3">
      <c r="A33" s="1"/>
      <c r="B33" t="s">
        <v>178</v>
      </c>
      <c r="C33" s="1"/>
      <c r="D33" s="1"/>
    </row>
    <row r="34" spans="1:4" x14ac:dyDescent="0.3">
      <c r="A34" s="1"/>
      <c r="B34" t="s">
        <v>160</v>
      </c>
      <c r="C34" s="1"/>
      <c r="D34" s="1"/>
    </row>
    <row r="35" spans="1:4" x14ac:dyDescent="0.3">
      <c r="A35" s="1"/>
      <c r="B35" t="s">
        <v>173</v>
      </c>
      <c r="C35" s="1"/>
      <c r="D35" s="1"/>
    </row>
    <row r="36" spans="1:4" x14ac:dyDescent="0.3">
      <c r="A36" s="1"/>
      <c r="B36" t="s">
        <v>174</v>
      </c>
      <c r="C36" s="1"/>
      <c r="D36" s="1"/>
    </row>
    <row r="37" spans="1:4" x14ac:dyDescent="0.3">
      <c r="A37" s="1"/>
      <c r="B37" t="s">
        <v>175</v>
      </c>
      <c r="C37" s="1"/>
      <c r="D37" s="1"/>
    </row>
    <row r="38" spans="1:4" x14ac:dyDescent="0.3">
      <c r="A38" s="1"/>
      <c r="C38" s="1"/>
      <c r="D38" s="1"/>
    </row>
    <row r="39" spans="1:4" x14ac:dyDescent="0.3">
      <c r="A39" s="1"/>
      <c r="B39" t="s">
        <v>176</v>
      </c>
      <c r="C39" s="1"/>
      <c r="D39" s="1"/>
    </row>
    <row r="40" spans="1:4" x14ac:dyDescent="0.3">
      <c r="A40" s="1"/>
      <c r="B40" t="s">
        <v>188</v>
      </c>
      <c r="C40" s="1"/>
      <c r="D40" s="1"/>
    </row>
  </sheetData>
  <hyperlinks>
    <hyperlink ref="B40" r:id="rId1" xr:uid="{00000000-0004-0000-00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99"/>
  <sheetViews>
    <sheetView tabSelected="1" topLeftCell="A34" zoomScale="130" zoomScaleNormal="130" zoomScaleSheetLayoutView="85" workbookViewId="0">
      <selection activeCell="P45" sqref="P45"/>
    </sheetView>
  </sheetViews>
  <sheetFormatPr defaultColWidth="9.109375" defaultRowHeight="14.4" x14ac:dyDescent="0.3"/>
  <cols>
    <col min="1" max="1" width="6.33203125" style="1" customWidth="1"/>
    <col min="2" max="3" width="9.44140625" style="1" customWidth="1"/>
    <col min="4" max="4" width="9.88671875" style="1" customWidth="1"/>
    <col min="5" max="5" width="9" style="1" bestFit="1" customWidth="1"/>
    <col min="6" max="9" width="9" style="1" customWidth="1"/>
    <col min="10" max="10" width="8.88671875" style="1" customWidth="1"/>
    <col min="11" max="11" width="8" style="1" customWidth="1"/>
    <col min="12" max="12" width="3.44140625" style="1" customWidth="1"/>
    <col min="13" max="13" width="9.109375" style="1" customWidth="1"/>
    <col min="14" max="14" width="7.88671875" style="1" customWidth="1"/>
    <col min="15" max="15" width="25.6640625" style="1" customWidth="1"/>
    <col min="16" max="16" width="14.44140625" style="1" customWidth="1"/>
    <col min="17" max="17" width="11.109375" style="1" customWidth="1"/>
    <col min="18" max="19" width="9.33203125" style="1" customWidth="1"/>
    <col min="20" max="33" width="9.109375" style="1" customWidth="1"/>
    <col min="34" max="16384" width="9.109375" style="1"/>
  </cols>
  <sheetData>
    <row r="1" spans="1:17" x14ac:dyDescent="0.3">
      <c r="A1" s="171" t="s">
        <v>109</v>
      </c>
      <c r="B1" s="171"/>
      <c r="C1" s="171"/>
      <c r="D1" s="171"/>
      <c r="E1" s="171"/>
      <c r="F1" s="171"/>
      <c r="G1" s="171"/>
      <c r="H1" s="171"/>
      <c r="I1" s="171"/>
      <c r="J1" s="171"/>
      <c r="K1" s="171"/>
      <c r="L1" s="75"/>
      <c r="M1" s="75"/>
    </row>
    <row r="2" spans="1:17" x14ac:dyDescent="0.3">
      <c r="L2" s="10"/>
      <c r="M2" s="10"/>
    </row>
    <row r="3" spans="1:17" x14ac:dyDescent="0.3">
      <c r="L3" s="11"/>
      <c r="M3" s="11"/>
    </row>
    <row r="10" spans="1:17" x14ac:dyDescent="0.3">
      <c r="P10" s="2">
        <v>0</v>
      </c>
      <c r="Q10" s="2" t="s">
        <v>40</v>
      </c>
    </row>
    <row r="11" spans="1:17" x14ac:dyDescent="0.3">
      <c r="P11" s="2">
        <v>1</v>
      </c>
      <c r="Q11" s="2" t="s">
        <v>44</v>
      </c>
    </row>
    <row r="12" spans="1:17" x14ac:dyDescent="0.3">
      <c r="P12" s="2">
        <v>2</v>
      </c>
      <c r="Q12" s="2" t="s">
        <v>39</v>
      </c>
    </row>
    <row r="13" spans="1:17" x14ac:dyDescent="0.3">
      <c r="P13" s="2">
        <v>3</v>
      </c>
      <c r="Q13" s="2"/>
    </row>
    <row r="14" spans="1:17" x14ac:dyDescent="0.3">
      <c r="P14" s="2">
        <v>4</v>
      </c>
      <c r="Q14" s="2"/>
    </row>
    <row r="15" spans="1:17" x14ac:dyDescent="0.3">
      <c r="P15" s="2">
        <v>5</v>
      </c>
      <c r="Q15" s="2"/>
    </row>
    <row r="16" spans="1:17" x14ac:dyDescent="0.3">
      <c r="A16" s="7"/>
      <c r="B16" s="12" t="s">
        <v>5</v>
      </c>
      <c r="P16" s="2">
        <v>6</v>
      </c>
      <c r="Q16" s="2"/>
    </row>
    <row r="17" spans="1:21" ht="28.8" x14ac:dyDescent="0.3">
      <c r="A17" s="7"/>
      <c r="B17" s="72" t="s">
        <v>64</v>
      </c>
      <c r="C17" s="171" t="s">
        <v>189</v>
      </c>
      <c r="D17" s="171"/>
      <c r="E17" s="171"/>
      <c r="F17" s="171"/>
      <c r="G17" s="112"/>
      <c r="I17" s="111"/>
      <c r="J17" s="112" t="s">
        <v>110</v>
      </c>
      <c r="P17" s="2">
        <v>7</v>
      </c>
      <c r="Q17" s="2"/>
    </row>
    <row r="18" spans="1:21" ht="28.8" x14ac:dyDescent="0.3">
      <c r="B18" s="72" t="s">
        <v>65</v>
      </c>
      <c r="C18" s="171" t="s">
        <v>190</v>
      </c>
      <c r="D18" s="171"/>
      <c r="E18" s="171"/>
      <c r="F18" s="171"/>
      <c r="G18" s="112"/>
      <c r="I18" s="113"/>
      <c r="J18" s="112" t="s">
        <v>115</v>
      </c>
      <c r="P18" s="2">
        <v>8</v>
      </c>
      <c r="Q18" s="3"/>
      <c r="R18" s="2"/>
    </row>
    <row r="19" spans="1:21" ht="15" thickBot="1" x14ac:dyDescent="0.35">
      <c r="B19" s="78"/>
      <c r="C19" s="82"/>
      <c r="D19" s="84"/>
      <c r="E19" s="84"/>
      <c r="F19" s="84"/>
      <c r="G19" s="112"/>
      <c r="P19" s="2">
        <v>9</v>
      </c>
      <c r="Q19" s="3"/>
      <c r="R19" s="2"/>
    </row>
    <row r="20" spans="1:21" ht="17.399999999999999" x14ac:dyDescent="0.3">
      <c r="B20" s="29" t="s">
        <v>0</v>
      </c>
      <c r="C20" s="30"/>
      <c r="D20" s="30"/>
      <c r="E20" s="31"/>
      <c r="I20" s="152" t="s">
        <v>113</v>
      </c>
      <c r="J20" s="153"/>
      <c r="K20" s="53"/>
      <c r="M20" s="91"/>
      <c r="P20" s="2">
        <v>10</v>
      </c>
      <c r="Q20" s="2"/>
      <c r="R20" s="2"/>
    </row>
    <row r="21" spans="1:21" ht="17.399999999999999" x14ac:dyDescent="0.3">
      <c r="B21" s="63"/>
      <c r="C21" s="16" t="s">
        <v>1</v>
      </c>
      <c r="D21" s="73">
        <v>6</v>
      </c>
      <c r="E21" s="53"/>
      <c r="F21" s="7"/>
      <c r="G21" s="155" t="s">
        <v>170</v>
      </c>
      <c r="H21" s="156"/>
      <c r="I21" s="69" t="s">
        <v>76</v>
      </c>
      <c r="J21" s="24">
        <v>29000</v>
      </c>
      <c r="K21" s="9" t="s">
        <v>78</v>
      </c>
      <c r="M21" s="92"/>
      <c r="P21" s="2">
        <v>11</v>
      </c>
      <c r="R21" s="2"/>
    </row>
    <row r="22" spans="1:21" ht="18" x14ac:dyDescent="0.35">
      <c r="B22" s="52" t="s">
        <v>135</v>
      </c>
      <c r="C22" s="7"/>
      <c r="D22" s="7"/>
      <c r="E22" s="53"/>
      <c r="G22" s="157" t="s">
        <v>171</v>
      </c>
      <c r="H22" s="169">
        <v>1.03</v>
      </c>
      <c r="I22" s="69" t="s">
        <v>77</v>
      </c>
      <c r="J22" s="24">
        <f>J21/2/1.3</f>
        <v>11153.846153846154</v>
      </c>
      <c r="K22" s="9" t="s">
        <v>78</v>
      </c>
      <c r="M22" s="92"/>
      <c r="N22" s="81"/>
      <c r="P22" s="2">
        <v>12</v>
      </c>
      <c r="R22" s="2"/>
    </row>
    <row r="23" spans="1:21" ht="16.8" thickBot="1" x14ac:dyDescent="0.35">
      <c r="B23" s="39"/>
      <c r="C23" s="59" t="s">
        <v>134</v>
      </c>
      <c r="D23" s="166">
        <v>2337</v>
      </c>
      <c r="E23" s="35" t="s">
        <v>2</v>
      </c>
      <c r="F23" s="7"/>
      <c r="I23" t="s">
        <v>114</v>
      </c>
      <c r="J23" s="154">
        <v>490</v>
      </c>
      <c r="K23" s="28" t="s">
        <v>159</v>
      </c>
      <c r="M23" s="81"/>
      <c r="N23" s="81"/>
      <c r="P23" s="2">
        <v>13</v>
      </c>
    </row>
    <row r="24" spans="1:21" x14ac:dyDescent="0.3">
      <c r="L24" s="92"/>
      <c r="M24" s="92"/>
      <c r="N24" s="81"/>
      <c r="P24" s="2">
        <v>14</v>
      </c>
    </row>
    <row r="25" spans="1:21" x14ac:dyDescent="0.3">
      <c r="A25" s="83"/>
      <c r="B25" s="13" t="str">
        <f>IF(1&lt;=$D$21,"Section 1"," ")</f>
        <v>Section 1</v>
      </c>
      <c r="C25" s="13" t="str">
        <f>IF(2&lt;=$D$21,"Section 2"," ")</f>
        <v>Section 2</v>
      </c>
      <c r="D25" s="13" t="str">
        <f>IF(3&lt;=$D$21,"Section 3"," ")</f>
        <v>Section 3</v>
      </c>
      <c r="E25" s="13" t="str">
        <f>IF(4&lt;=$D$21,"Section 4"," ")</f>
        <v>Section 4</v>
      </c>
      <c r="F25" s="76" t="str">
        <f>IF(5&lt;=$D$21,"Section 5"," ")</f>
        <v>Section 5</v>
      </c>
      <c r="G25" s="76" t="str">
        <f>IF(6&lt;=$D$21,"Section 6"," ")</f>
        <v>Section 6</v>
      </c>
      <c r="H25" s="76" t="str">
        <f>IF(7&lt;=$D$21,"Section 7"," ")</f>
        <v xml:space="preserve"> </v>
      </c>
      <c r="I25" s="76" t="str">
        <f>IF(8&lt;=$D$21,"Section 8"," ")</f>
        <v xml:space="preserve"> </v>
      </c>
      <c r="L25" s="92"/>
      <c r="M25" s="92"/>
      <c r="N25" s="81"/>
      <c r="P25" s="2">
        <v>15</v>
      </c>
      <c r="S25" s="3"/>
      <c r="T25" s="3"/>
      <c r="U25" s="3"/>
    </row>
    <row r="26" spans="1:21" x14ac:dyDescent="0.3">
      <c r="A26" s="83" t="s">
        <v>71</v>
      </c>
      <c r="B26" s="167">
        <v>24</v>
      </c>
      <c r="C26" s="167">
        <v>24</v>
      </c>
      <c r="D26" s="167">
        <v>24</v>
      </c>
      <c r="E26" s="167">
        <v>24</v>
      </c>
      <c r="F26" s="167">
        <v>24</v>
      </c>
      <c r="G26" s="167">
        <v>24</v>
      </c>
      <c r="H26" s="167"/>
      <c r="I26" s="167"/>
      <c r="J26" s="83"/>
      <c r="K26" s="7"/>
      <c r="L26" s="95"/>
      <c r="M26" s="95"/>
      <c r="N26" s="81"/>
      <c r="P26" s="2">
        <v>16</v>
      </c>
      <c r="R26" s="3"/>
      <c r="S26" s="3"/>
      <c r="T26" s="3"/>
      <c r="U26" s="3"/>
    </row>
    <row r="27" spans="1:21" x14ac:dyDescent="0.3">
      <c r="A27" s="83" t="s">
        <v>70</v>
      </c>
      <c r="B27" s="167">
        <v>1.25</v>
      </c>
      <c r="C27" s="167">
        <v>1.25</v>
      </c>
      <c r="D27" s="167">
        <v>1.25</v>
      </c>
      <c r="E27" s="167">
        <v>1.25</v>
      </c>
      <c r="F27" s="167">
        <v>1.5</v>
      </c>
      <c r="G27" s="167">
        <v>1.25</v>
      </c>
      <c r="H27" s="167"/>
      <c r="I27" s="167"/>
      <c r="J27" s="83"/>
      <c r="K27" s="78"/>
      <c r="L27" s="92"/>
      <c r="M27" s="92"/>
      <c r="N27" s="81"/>
      <c r="P27" s="2">
        <v>17</v>
      </c>
      <c r="R27" s="2"/>
    </row>
    <row r="28" spans="1:21" x14ac:dyDescent="0.3">
      <c r="A28" s="83"/>
      <c r="J28" s="83"/>
      <c r="K28" s="7"/>
      <c r="L28" s="92"/>
      <c r="M28" s="92"/>
      <c r="N28" s="81"/>
      <c r="P28" s="2">
        <v>18</v>
      </c>
    </row>
    <row r="29" spans="1:21" x14ac:dyDescent="0.3">
      <c r="A29" s="83" t="s">
        <v>72</v>
      </c>
      <c r="B29" s="167">
        <v>51</v>
      </c>
      <c r="C29" s="167">
        <v>62.5</v>
      </c>
      <c r="D29" s="167">
        <v>74</v>
      </c>
      <c r="E29" s="167">
        <v>74</v>
      </c>
      <c r="F29" s="167">
        <v>74</v>
      </c>
      <c r="G29" s="167">
        <v>74</v>
      </c>
      <c r="H29" s="167"/>
      <c r="I29" s="167"/>
      <c r="J29" s="83"/>
      <c r="K29" s="78"/>
      <c r="L29" s="92"/>
      <c r="M29" s="92"/>
      <c r="N29" s="81"/>
    </row>
    <row r="30" spans="1:21" x14ac:dyDescent="0.3">
      <c r="A30" s="83" t="s">
        <v>73</v>
      </c>
      <c r="B30" s="167">
        <f>5/8</f>
        <v>0.625</v>
      </c>
      <c r="C30" s="167">
        <v>0.625</v>
      </c>
      <c r="D30" s="167">
        <v>0.625</v>
      </c>
      <c r="E30" s="167">
        <v>0.625</v>
      </c>
      <c r="F30" s="167">
        <v>0.625</v>
      </c>
      <c r="G30" s="167">
        <v>0.625</v>
      </c>
      <c r="H30" s="167"/>
      <c r="I30" s="167"/>
      <c r="J30" s="83"/>
      <c r="K30" s="78"/>
      <c r="L30" s="92"/>
      <c r="M30" s="92"/>
      <c r="N30" s="81"/>
      <c r="P30" s="1" t="s">
        <v>83</v>
      </c>
      <c r="Q30" s="1">
        <f>ABS(D23)</f>
        <v>2337</v>
      </c>
    </row>
    <row r="31" spans="1:21" x14ac:dyDescent="0.3">
      <c r="A31" s="83"/>
      <c r="B31" s="2"/>
      <c r="C31" s="2"/>
      <c r="D31" s="2"/>
      <c r="E31" s="2"/>
      <c r="F31" s="2"/>
      <c r="G31" s="2"/>
      <c r="H31" s="2"/>
      <c r="I31" s="2"/>
      <c r="J31" s="83"/>
      <c r="K31" s="78"/>
      <c r="L31" s="92"/>
      <c r="M31" s="92"/>
      <c r="N31" s="81"/>
      <c r="P31" s="1" t="s">
        <v>84</v>
      </c>
      <c r="Q31" s="1">
        <f>D23/Q30</f>
        <v>1</v>
      </c>
    </row>
    <row r="32" spans="1:21" x14ac:dyDescent="0.3">
      <c r="A32" s="83" t="s">
        <v>74</v>
      </c>
      <c r="B32" s="167">
        <v>24</v>
      </c>
      <c r="C32" s="167">
        <v>24</v>
      </c>
      <c r="D32" s="167">
        <v>24</v>
      </c>
      <c r="E32" s="167">
        <v>24</v>
      </c>
      <c r="F32" s="167">
        <v>24</v>
      </c>
      <c r="G32" s="167">
        <v>24</v>
      </c>
      <c r="H32" s="167"/>
      <c r="I32" s="167"/>
      <c r="J32" s="83"/>
      <c r="K32" s="20"/>
      <c r="L32" s="92"/>
      <c r="M32" s="92"/>
      <c r="N32" s="81"/>
    </row>
    <row r="33" spans="1:23" x14ac:dyDescent="0.3">
      <c r="A33" s="83" t="s">
        <v>75</v>
      </c>
      <c r="B33" s="167">
        <v>1.25</v>
      </c>
      <c r="C33" s="167">
        <v>1.25</v>
      </c>
      <c r="D33" s="167">
        <v>1.25</v>
      </c>
      <c r="E33" s="167">
        <v>2</v>
      </c>
      <c r="F33" s="167">
        <v>2.5</v>
      </c>
      <c r="G33" s="167">
        <v>2</v>
      </c>
      <c r="H33" s="167"/>
      <c r="I33" s="167"/>
      <c r="J33" s="83"/>
      <c r="K33" s="78"/>
      <c r="L33" s="92"/>
      <c r="M33" s="92"/>
      <c r="N33" s="81"/>
    </row>
    <row r="34" spans="1:23" x14ac:dyDescent="0.3">
      <c r="A34" s="2"/>
      <c r="B34" s="3"/>
      <c r="C34" s="3"/>
      <c r="D34" s="3"/>
      <c r="E34" s="3"/>
      <c r="F34" s="3"/>
      <c r="G34" s="3"/>
      <c r="H34" s="3"/>
      <c r="I34" s="3"/>
      <c r="J34" s="7"/>
      <c r="K34" s="78"/>
      <c r="L34" s="92"/>
      <c r="M34" s="92"/>
      <c r="N34" s="81"/>
    </row>
    <row r="35" spans="1:23" x14ac:dyDescent="0.3">
      <c r="B35" s="13" t="str">
        <f>IF(1&lt;=$D$21,"Section 1"," ")</f>
        <v>Section 1</v>
      </c>
      <c r="C35" s="86" t="str">
        <f>IF(2&lt;=$D$21,"Section 2"," ")</f>
        <v>Section 2</v>
      </c>
      <c r="D35" s="13" t="str">
        <f>IF(3&lt;=$D$21,"Section 3"," ")</f>
        <v>Section 3</v>
      </c>
      <c r="E35" s="13" t="str">
        <f>IF(4&lt;=$D$21,"Section 4"," ")</f>
        <v>Section 4</v>
      </c>
      <c r="F35" s="76" t="str">
        <f>IF(5&lt;=$D$21,"Section 5"," ")</f>
        <v>Section 5</v>
      </c>
      <c r="G35" s="76" t="str">
        <f>IF(6&lt;=$D$21,"Section 6"," ")</f>
        <v>Section 6</v>
      </c>
      <c r="H35" s="76" t="str">
        <f>IF(7&lt;=$D$21,"Section 7"," ")</f>
        <v xml:space="preserve"> </v>
      </c>
      <c r="I35" s="76" t="str">
        <f>IF(8&lt;=$D$21,"Section 8"," ")</f>
        <v xml:space="preserve"> </v>
      </c>
      <c r="J35" s="7"/>
      <c r="K35" s="78"/>
      <c r="L35" s="92"/>
      <c r="M35" s="92"/>
      <c r="N35" s="81"/>
    </row>
    <row r="36" spans="1:23" ht="16.2" x14ac:dyDescent="0.35">
      <c r="A36" s="2" t="s">
        <v>125</v>
      </c>
      <c r="B36" s="168">
        <v>3.536</v>
      </c>
      <c r="C36" s="167">
        <v>3.8330000000000002</v>
      </c>
      <c r="D36" s="167">
        <v>23.526</v>
      </c>
      <c r="E36" s="167">
        <v>30.01</v>
      </c>
      <c r="F36" s="167">
        <v>65</v>
      </c>
      <c r="G36" s="167">
        <v>14.75</v>
      </c>
      <c r="H36" s="167"/>
      <c r="I36" s="167"/>
      <c r="J36" s="7"/>
      <c r="K36" s="78"/>
      <c r="L36" s="92"/>
      <c r="M36" s="92"/>
      <c r="N36" s="81"/>
    </row>
    <row r="37" spans="1:23" ht="15.6" x14ac:dyDescent="0.35">
      <c r="A37" s="2" t="s">
        <v>126</v>
      </c>
      <c r="B37" s="18">
        <f>IF($D$21 &gt;= 1, (B26*B27+B30*B29+B33*B32)/144*$J$23*$H$22, " ")</f>
        <v>322.00911458333337</v>
      </c>
      <c r="C37" s="18">
        <f>IF($D$21 &gt;= 2, (C26*C27+C30*C29+C33*C32)/144*$J$23*$H$22, " ")</f>
        <v>347.20030381944451</v>
      </c>
      <c r="D37" s="18">
        <f>IF($D$21 &gt;= 3, (D26*D27+D30*D29+D33*D32)/144*$J$23*$H$22, " ")</f>
        <v>372.39149305555554</v>
      </c>
      <c r="E37" s="18">
        <f>IF($D$21 &gt;= 4, (E26*E27+E30*E29+E33*E32)/144*$J$23*$H$22, " ")</f>
        <v>435.47899305555552</v>
      </c>
      <c r="F37" s="18">
        <f>IF($D$21 &gt;= 5, (F26*F27+F30*F29+F33*F32)/144*$J$23*$H$22, " ")</f>
        <v>498.56649305555555</v>
      </c>
      <c r="G37" s="18">
        <f>IF($D$21 &gt;= 6, (G26*G27+G30*G29+G33*G32)/144*J23*$H$22, " ")</f>
        <v>435.47899305555552</v>
      </c>
      <c r="H37" s="18" t="str">
        <f>IF($D$21 &gt;= 7, (H26*H27+H30*H29+H33*H32)/144*$J$23*$H$22, " ")</f>
        <v xml:space="preserve"> </v>
      </c>
      <c r="I37" s="18" t="str">
        <f>IF($D$21 &gt;= 8, (I26*I27+I30*I29+I33*I32)/144*$J$23*$H$22, " ")</f>
        <v xml:space="preserve"> </v>
      </c>
      <c r="J37" s="7"/>
      <c r="K37" s="78"/>
      <c r="L37" s="92"/>
      <c r="M37" s="92"/>
      <c r="N37" s="81"/>
    </row>
    <row r="38" spans="1:23" ht="15.6" x14ac:dyDescent="0.35">
      <c r="A38" s="2" t="s">
        <v>127</v>
      </c>
      <c r="B38" s="119">
        <f>IF($D$21&gt;=1,DEGREES(P43)," ")</f>
        <v>8.6691431903405697E-2</v>
      </c>
      <c r="C38" s="119">
        <f>IF($D$21&gt;=2,DEGREES(Q43)," ")</f>
        <v>0.18066435568331352</v>
      </c>
      <c r="D38" s="119">
        <f>IF($D$21&gt;=3,DEGREES(R43)," ")</f>
        <v>0.75744677280987527</v>
      </c>
      <c r="E38" s="119">
        <f>IF($D$21&gt;=4,DEGREES(S43)," ")</f>
        <v>1.493196170836234</v>
      </c>
      <c r="F38" s="119">
        <f>IF($D$21&gt;=5,DEGREES(T43)," ")</f>
        <v>3.0867886690606032</v>
      </c>
      <c r="G38" s="119">
        <f>IF($D$21&gt;=6,DEGREES(U43)," ")</f>
        <v>3.4484115821192098</v>
      </c>
      <c r="H38" s="119" t="str">
        <f>IF($D$21&gt;=7,DEGREES(V43)," ")</f>
        <v xml:space="preserve"> </v>
      </c>
      <c r="I38" s="119" t="str">
        <f>IF($D$21&gt;=8,DEGREES(W43)," ")</f>
        <v xml:space="preserve"> </v>
      </c>
      <c r="J38" s="7"/>
      <c r="K38" s="78"/>
      <c r="L38" s="92"/>
      <c r="M38" s="92"/>
      <c r="N38" s="81"/>
    </row>
    <row r="39" spans="1:23" ht="15.6" x14ac:dyDescent="0.35">
      <c r="A39" s="2" t="s">
        <v>79</v>
      </c>
      <c r="B39" s="119">
        <f>IF($D$21&gt;=1,B26*B27^3/3+B29*B30^3/3+B32*B33^3/3,"")</f>
        <v>35.400390625</v>
      </c>
      <c r="C39" s="119">
        <f>IF($D$21&gt;=2,C26*C27^3/3+C29*C30^3/3+C32*C33^3/3,"")</f>
        <v>36.336263020833329</v>
      </c>
      <c r="D39" s="119">
        <f>IF($D$21&gt;=3,D26*D27^3/3+D29*D30^3/3+D32*D33^3/3,"")</f>
        <v>37.272135416666671</v>
      </c>
      <c r="E39" s="119">
        <f>IF($D$21&gt;=4,E26*E27^3/3+E29*E30^3/3+E32*E33^3/3,"")</f>
        <v>85.647135416666671</v>
      </c>
      <c r="F39" s="119">
        <f>IF($D$21&gt;=5,F26*F27^3/3+F29*F30^3/3+F32*F33^3/3,"")</f>
        <v>158.02213541666666</v>
      </c>
      <c r="G39" s="119">
        <f>IF($D$21&gt;=6,G26*G27^3/3+G29*G30^3/3+G32*G33^3/3,"")</f>
        <v>85.647135416666671</v>
      </c>
      <c r="H39" s="119" t="str">
        <f>IF($D$21&gt;=7,H26*H27^3/3+H29*H30^3/3+H32*H33^3/3,"")</f>
        <v/>
      </c>
      <c r="I39" s="119" t="str">
        <f>IF($D$21&gt;=8,I26*I27^3/3+I29*I30^3/3+I32*I33^3/3,"")</f>
        <v/>
      </c>
      <c r="L39" s="81"/>
      <c r="M39" s="81"/>
      <c r="N39" s="81"/>
      <c r="O39" s="4" t="s">
        <v>10</v>
      </c>
      <c r="T39" s="2"/>
      <c r="U39" s="2"/>
      <c r="V39" s="2"/>
      <c r="W39" s="2"/>
    </row>
    <row r="40" spans="1:23" ht="16.2" thickBot="1" x14ac:dyDescent="0.4">
      <c r="A40" s="4" t="s">
        <v>80</v>
      </c>
      <c r="B40" s="120">
        <f>IF($D$21&gt;=1,(B29+(B27+B33)/2)^2*B26^3*B27*(1/(1+(B26/B32)^3*(B27/B33)))/12,"")</f>
        <v>1965645</v>
      </c>
      <c r="C40" s="120">
        <f>IF($D$21&gt;=2,(C29+(C27+C33)/2)^2*C26^3*C27*(1/(1+(C26/C32)^3*(C27/C33)))/12,"")</f>
        <v>2926125</v>
      </c>
      <c r="D40" s="120">
        <f>IF($D$21&gt;=3,(D29+(D27+D33)/2)^2*D26^3*D27*(1/(1+(D26/D32)^3*(D27/D33)))/12,"")</f>
        <v>4077045</v>
      </c>
      <c r="E40" s="120">
        <f>IF($D$21&gt;=4,(E29+(E27+E33)/2)^2*E26^3*E27*(1/(1+(E26/E32)^3*(E27/E33)))/12,"")</f>
        <v>5068038.461538462</v>
      </c>
      <c r="F40" s="120">
        <f>IF($D$21&gt;=5,(F29+(F27+F33)/2)^2*F26^3*F27*(1/(1+(F26/F32)^3*(F27/F33)))/12,"")</f>
        <v>6238080</v>
      </c>
      <c r="G40" s="120">
        <f>IF($D$21&gt;=6,(G29+(G27+G33)/2)^2*G26^3*G27*(1/(1+(G26/G32)^3*(G27/G33)))/12,"")</f>
        <v>5068038.461538462</v>
      </c>
      <c r="H40" s="120" t="str">
        <f>IF($D$21&gt;=7,(H29+(H27+H33)/2)^2*H26^3*H27*(1/(1+(H26/H32)^3*(H27/H33)))/12,"")</f>
        <v/>
      </c>
      <c r="I40" s="120" t="str">
        <f>IF($D$21&gt;=8,(I29+(I27+I33)/2)^2*I26^3*I27*(1/(1+(I26/I32)^3*(I27/I33)))/12,"")</f>
        <v/>
      </c>
      <c r="L40" s="91"/>
      <c r="M40" s="91"/>
      <c r="N40" s="81"/>
      <c r="O40" s="3"/>
      <c r="P40" s="2">
        <v>1</v>
      </c>
      <c r="Q40" s="2">
        <v>2</v>
      </c>
      <c r="R40" s="2">
        <v>3</v>
      </c>
      <c r="S40" s="2">
        <v>4</v>
      </c>
      <c r="T40" s="2">
        <v>5</v>
      </c>
      <c r="U40" s="2">
        <v>6</v>
      </c>
      <c r="V40" s="2">
        <v>7</v>
      </c>
      <c r="W40" s="2">
        <v>8</v>
      </c>
    </row>
    <row r="41" spans="1:23" hidden="1" x14ac:dyDescent="0.3">
      <c r="A41" s="4" t="s">
        <v>81</v>
      </c>
      <c r="B41" s="121">
        <f>IF($D$21&gt;=1,SQRT($J$22*B39/$J$21/B40),"")</f>
        <v>2.6318722813431597E-3</v>
      </c>
      <c r="C41" s="121">
        <f>IF($D$21&gt;=2,SQRT($J$22*C39/$J$21/C40),"")</f>
        <v>2.1854305963079539E-3</v>
      </c>
      <c r="D41" s="121">
        <f>IF($D$21&gt;=3,SQRT($J$22*D39/$J$21/D40),"")</f>
        <v>1.8751357385376646E-3</v>
      </c>
      <c r="E41" s="121">
        <f>IF($D$21&gt;=4,SQRT($J$22*E39/$J$21/E40),"")</f>
        <v>2.549469354439983E-3</v>
      </c>
      <c r="F41" s="121">
        <f>IF($D$21&gt;=5,SQRT($J$22*F39/$J$21/F40),"")</f>
        <v>3.1213812635114643E-3</v>
      </c>
      <c r="G41" s="121">
        <f>IF($D$21&gt;=6,SQRT($J$22*G39/$J$21/G40),"")</f>
        <v>2.549469354439983E-3</v>
      </c>
      <c r="H41" s="121" t="str">
        <f>IF($D$21&gt;=7,SQRT($J$22*H39/$J$21/H40),"")</f>
        <v/>
      </c>
      <c r="I41" s="121" t="str">
        <f>IF($D$21&gt;=8,SQRT($J$22*I39/$J$21/I40),"")</f>
        <v/>
      </c>
      <c r="L41" s="91"/>
      <c r="M41" s="91"/>
      <c r="N41" s="81"/>
      <c r="O41" s="2" t="s">
        <v>12</v>
      </c>
      <c r="P41" s="2">
        <f t="shared" ref="P41:W41" si="0">IF($D$21&gt;=P40,B36,0)</f>
        <v>3.536</v>
      </c>
      <c r="Q41" s="2">
        <f t="shared" si="0"/>
        <v>3.8330000000000002</v>
      </c>
      <c r="R41" s="2">
        <f t="shared" si="0"/>
        <v>23.526</v>
      </c>
      <c r="S41" s="2">
        <f t="shared" si="0"/>
        <v>30.01</v>
      </c>
      <c r="T41" s="2">
        <f t="shared" si="0"/>
        <v>65</v>
      </c>
      <c r="U41" s="2">
        <f t="shared" si="0"/>
        <v>14.75</v>
      </c>
      <c r="V41" s="2">
        <f t="shared" si="0"/>
        <v>0</v>
      </c>
      <c r="W41" s="2">
        <f t="shared" si="0"/>
        <v>0</v>
      </c>
    </row>
    <row r="42" spans="1:23" ht="16.2" thickBot="1" x14ac:dyDescent="0.4">
      <c r="B42" s="1" t="s">
        <v>53</v>
      </c>
      <c r="F42" s="19" t="s">
        <v>128</v>
      </c>
      <c r="L42" s="91"/>
      <c r="M42" s="91"/>
      <c r="N42" s="81"/>
      <c r="O42" s="2" t="s">
        <v>13</v>
      </c>
      <c r="P42" s="2">
        <f t="shared" ref="P42:W42" si="1">IF($D$21&gt;=P40,B37,0)</f>
        <v>322.00911458333337</v>
      </c>
      <c r="Q42" s="2">
        <f t="shared" si="1"/>
        <v>347.20030381944451</v>
      </c>
      <c r="R42" s="2">
        <f t="shared" si="1"/>
        <v>372.39149305555554</v>
      </c>
      <c r="S42" s="2">
        <f t="shared" si="1"/>
        <v>435.47899305555552</v>
      </c>
      <c r="T42" s="2">
        <f t="shared" si="1"/>
        <v>498.56649305555555</v>
      </c>
      <c r="U42" s="2">
        <f t="shared" si="1"/>
        <v>435.47899305555552</v>
      </c>
      <c r="V42" s="2">
        <f t="shared" si="1"/>
        <v>0</v>
      </c>
      <c r="W42" s="2">
        <f t="shared" si="1"/>
        <v>0</v>
      </c>
    </row>
    <row r="43" spans="1:23" ht="16.2" thickBot="1" x14ac:dyDescent="0.4">
      <c r="B43" s="1" t="s">
        <v>54</v>
      </c>
      <c r="F43" s="19" t="s">
        <v>129</v>
      </c>
      <c r="L43" s="91"/>
      <c r="M43" s="91"/>
      <c r="N43" s="81"/>
      <c r="O43" s="2" t="s">
        <v>121</v>
      </c>
      <c r="P43" s="2">
        <f>IF($D$21&gt;=P40,B36/$Q$30,0)</f>
        <v>1.5130509199828841E-3</v>
      </c>
      <c r="Q43" s="2">
        <f t="shared" ref="Q43:W43" si="2">IF($D$21&gt;=Q40,C36/$Q$30+P43,0)</f>
        <v>3.1531878476679506E-3</v>
      </c>
      <c r="R43" s="2">
        <f t="shared" si="2"/>
        <v>1.3219940094137784E-2</v>
      </c>
      <c r="S43" s="2">
        <f t="shared" si="2"/>
        <v>2.6061189559264016E-2</v>
      </c>
      <c r="T43" s="2">
        <f t="shared" si="2"/>
        <v>5.3874625588361147E-2</v>
      </c>
      <c r="U43" s="2">
        <f t="shared" si="2"/>
        <v>6.0186136071887032E-2</v>
      </c>
      <c r="V43" s="2">
        <f t="shared" si="2"/>
        <v>0</v>
      </c>
      <c r="W43" s="2">
        <f t="shared" si="2"/>
        <v>0</v>
      </c>
    </row>
    <row r="44" spans="1:23" ht="15.6" x14ac:dyDescent="0.35">
      <c r="B44" s="1" t="s">
        <v>120</v>
      </c>
      <c r="F44" s="126" t="s">
        <v>130</v>
      </c>
      <c r="L44" s="3"/>
      <c r="M44" s="3"/>
      <c r="O44" s="118" t="s">
        <v>45</v>
      </c>
      <c r="P44" s="2">
        <f>IF($D$21&gt;=P40,B37*$Q$30*(P43),0)</f>
        <v>1138.624229166667</v>
      </c>
      <c r="Q44" s="2">
        <f t="shared" ref="Q44:W44" si="3">IF($D$21&gt;=Q40,C37*$Q$30*(Q43-P43),0)</f>
        <v>1330.818764539931</v>
      </c>
      <c r="R44" s="2">
        <f t="shared" si="3"/>
        <v>8760.8822656249977</v>
      </c>
      <c r="S44" s="2">
        <f t="shared" si="3"/>
        <v>13068.724581597224</v>
      </c>
      <c r="T44" s="2">
        <f t="shared" si="3"/>
        <v>32406.822048611109</v>
      </c>
      <c r="U44" s="2">
        <f t="shared" si="3"/>
        <v>6423.3151475694413</v>
      </c>
      <c r="V44" s="2">
        <f t="shared" si="3"/>
        <v>0</v>
      </c>
      <c r="W44" s="2">
        <f t="shared" si="3"/>
        <v>0</v>
      </c>
    </row>
    <row r="45" spans="1:23" ht="16.8" x14ac:dyDescent="0.35">
      <c r="B45" s="1" t="s">
        <v>55</v>
      </c>
      <c r="F45" s="19" t="s">
        <v>50</v>
      </c>
      <c r="L45" s="3"/>
      <c r="M45" s="3"/>
      <c r="O45" s="3" t="s">
        <v>46</v>
      </c>
      <c r="P45" s="2">
        <f>IF($D$21&gt;=P40,P42*$Q$30*(P43^2),0)</f>
        <v>1.7227964374554274</v>
      </c>
      <c r="Q45" s="2">
        <f t="shared" ref="Q45:W45" si="4">IF($D$21&gt;=Q40,Q42*$Q$30*(Q43^2-P43^2),0)</f>
        <v>6.2099181118134137</v>
      </c>
      <c r="R45" s="2">
        <f t="shared" si="4"/>
        <v>143.443046218175</v>
      </c>
      <c r="S45" s="2">
        <f t="shared" si="4"/>
        <v>513.35426469431968</v>
      </c>
      <c r="T45" s="2">
        <f t="shared" si="4"/>
        <v>2590.4657367997611</v>
      </c>
      <c r="U45" s="2">
        <f t="shared" si="4"/>
        <v>732.64821811558022</v>
      </c>
      <c r="V45" s="2">
        <f t="shared" si="4"/>
        <v>0</v>
      </c>
      <c r="W45" s="2">
        <f t="shared" si="4"/>
        <v>0</v>
      </c>
    </row>
    <row r="46" spans="1:23" ht="15.6" x14ac:dyDescent="0.35">
      <c r="A46" s="2"/>
      <c r="B46" s="1" t="s">
        <v>56</v>
      </c>
      <c r="F46" s="21" t="s">
        <v>51</v>
      </c>
      <c r="L46" s="3"/>
      <c r="M46" s="3"/>
      <c r="O46" s="3" t="s">
        <v>85</v>
      </c>
      <c r="P46" s="3">
        <f>IF($D$21&gt;=P40,B37*$Q$30^2*(SIN(P43-'C.G. &amp; Ideal Lift'!$R$10)-SIN(0-'C.G. &amp; Ideal Lift'!$R$10)),0)</f>
        <v>2659700.203765986</v>
      </c>
      <c r="Q46" s="3">
        <f>IF($D$21&gt;=Q40,C37*$Q$30^2*(SIN(Q43-'C.G. &amp; Ideal Lift'!$R$10)-SIN(P43-'C.G. &amp; Ideal Lift'!$R$10)),0)</f>
        <v>3108792.5948557225</v>
      </c>
      <c r="R46" s="118">
        <f>IF($D$21&gt;=R40,D37*$Q$30^2*(SIN(R43-'C.G. &amp; Ideal Lift'!$R$10)-SIN(Q43-'C.G. &amp; Ideal Lift'!$R$10)),0)</f>
        <v>20468491.11173743</v>
      </c>
      <c r="S46" s="118">
        <f>IF($D$21&gt;=S40,E37*$Q$30^2*(SIN(S43-'C.G. &amp; Ideal Lift'!$R$10)-SIN(R43-'C.G. &amp; Ideal Lift'!$R$10)),0)</f>
        <v>30539220.943910584</v>
      </c>
      <c r="T46" s="118">
        <f>IF($D$21&gt;=T40,F37*$Q$30^2*(SIN(T43-'C.G. &amp; Ideal Lift'!$R$10)-SIN(S43-'C.G. &amp; Ideal Lift'!$R$10)),0)</f>
        <v>75729640.916001812</v>
      </c>
      <c r="U46" s="118">
        <f>IF($D$21&gt;=U40,G37*$Q$30^2*(SIN(U43-'C.G. &amp; Ideal Lift'!$R$10)-SIN(T43-'C.G. &amp; Ideal Lift'!$R$10)),0)</f>
        <v>15006403.113786632</v>
      </c>
      <c r="V46" s="118">
        <f>IF($D$21&gt;=V40,H37*$Q$30^2*(SIN(V43-'C.G. &amp; Ideal Lift'!$R$10)-SIN(U43-'C.G. &amp; Ideal Lift'!$R$10)),0)</f>
        <v>0</v>
      </c>
      <c r="W46" s="118">
        <f>IF($D$21&gt;=W40,I37*$Q$30^2*(SIN(W43-'C.G. &amp; Ideal Lift'!$R$10)-SIN(V43-'C.G. &amp; Ideal Lift'!$R$10)),0)</f>
        <v>0</v>
      </c>
    </row>
    <row r="47" spans="1:23" ht="15.6" x14ac:dyDescent="0.35">
      <c r="A47" s="2"/>
      <c r="B47" s="1" t="s">
        <v>57</v>
      </c>
      <c r="F47" s="21" t="s">
        <v>52</v>
      </c>
      <c r="L47" s="3"/>
      <c r="M47" s="3"/>
      <c r="O47" s="3" t="s">
        <v>61</v>
      </c>
      <c r="P47" s="2">
        <f t="shared" ref="P47:W47" si="5">IF($D$21&gt;=P40,(B26*B27*B27/2-B30*B29*B29/2-B33*B32*(B29+B33/2))/(B26*B27+B30*B29+B33*B32),0)</f>
        <v>-25.5</v>
      </c>
      <c r="Q47" s="2">
        <f t="shared" si="5"/>
        <v>-31.25</v>
      </c>
      <c r="R47" s="2">
        <f t="shared" si="5"/>
        <v>-37</v>
      </c>
      <c r="S47" s="2">
        <f t="shared" si="5"/>
        <v>-42.595573440643861</v>
      </c>
      <c r="T47" s="2">
        <f t="shared" si="5"/>
        <v>-43.579964850615113</v>
      </c>
      <c r="U47" s="2">
        <f t="shared" si="5"/>
        <v>-42.595573440643861</v>
      </c>
      <c r="V47" s="2">
        <f t="shared" si="5"/>
        <v>0</v>
      </c>
      <c r="W47" s="2">
        <f t="shared" si="5"/>
        <v>0</v>
      </c>
    </row>
    <row r="48" spans="1:23" ht="16.8" x14ac:dyDescent="0.35">
      <c r="A48" s="2"/>
      <c r="B48" s="1" t="s">
        <v>116</v>
      </c>
      <c r="F48" s="5" t="s">
        <v>118</v>
      </c>
      <c r="L48" s="3"/>
      <c r="M48" s="3"/>
      <c r="O48" s="3" t="s">
        <v>60</v>
      </c>
      <c r="P48" s="3">
        <f>IF($D$21&gt;=P40,B37*$Q$30*(P43)*P47,0)</f>
        <v>-29034.917843750009</v>
      </c>
      <c r="Q48" s="3">
        <f t="shared" ref="Q48:W48" si="6">IF($D$21&gt;=Q40,C37*$Q$30*(Q43-P43)*Q47,0)</f>
        <v>-41588.086391872843</v>
      </c>
      <c r="R48" s="118">
        <f t="shared" si="6"/>
        <v>-324152.64382812491</v>
      </c>
      <c r="S48" s="118">
        <f t="shared" si="6"/>
        <v>-556669.81769097224</v>
      </c>
      <c r="T48" s="118">
        <f t="shared" si="6"/>
        <v>-1412288.165798611</v>
      </c>
      <c r="U48" s="118">
        <f t="shared" si="6"/>
        <v>-273604.79210069432</v>
      </c>
      <c r="V48" s="118">
        <f t="shared" si="6"/>
        <v>0</v>
      </c>
      <c r="W48" s="118">
        <f t="shared" si="6"/>
        <v>0</v>
      </c>
    </row>
    <row r="49" spans="1:33" ht="16.8" x14ac:dyDescent="0.35">
      <c r="A49" s="2"/>
      <c r="B49" s="1" t="s">
        <v>117</v>
      </c>
      <c r="F49" s="5" t="s">
        <v>119</v>
      </c>
      <c r="L49" s="3"/>
      <c r="M49" s="3"/>
      <c r="O49" s="3"/>
      <c r="P49" s="3"/>
      <c r="Q49" s="3"/>
      <c r="R49" s="3"/>
      <c r="S49" s="3"/>
      <c r="T49" s="3"/>
      <c r="U49" s="3"/>
      <c r="V49" s="3"/>
      <c r="W49" s="3"/>
    </row>
    <row r="50" spans="1:33" ht="15" thickBot="1" x14ac:dyDescent="0.35">
      <c r="A50" s="2"/>
      <c r="B50" s="12" t="s">
        <v>37</v>
      </c>
      <c r="J50" s="3"/>
      <c r="L50" s="3"/>
      <c r="M50" s="3"/>
    </row>
    <row r="51" spans="1:33" x14ac:dyDescent="0.3">
      <c r="A51" s="2"/>
      <c r="B51" s="29" t="s">
        <v>186</v>
      </c>
      <c r="C51" s="30"/>
      <c r="D51" s="30"/>
      <c r="E51" s="31"/>
      <c r="G51" s="29"/>
      <c r="H51" s="30"/>
      <c r="I51" s="30"/>
      <c r="J51" s="30"/>
      <c r="K51" s="138"/>
      <c r="O51" s="4" t="s">
        <v>10</v>
      </c>
    </row>
    <row r="52" spans="1:33" x14ac:dyDescent="0.3">
      <c r="A52" s="2"/>
      <c r="B52" s="63"/>
      <c r="C52" s="16" t="s">
        <v>38</v>
      </c>
      <c r="D52" s="17">
        <v>0</v>
      </c>
      <c r="E52" s="65"/>
      <c r="G52" s="63" t="s">
        <v>187</v>
      </c>
      <c r="H52" s="135"/>
      <c r="I52" s="135"/>
      <c r="J52" s="136"/>
      <c r="K52" s="139"/>
      <c r="O52" s="3"/>
      <c r="P52" s="2">
        <v>1</v>
      </c>
      <c r="Q52" s="2">
        <v>2</v>
      </c>
      <c r="R52" s="2">
        <v>3</v>
      </c>
      <c r="S52" s="2">
        <v>4</v>
      </c>
      <c r="T52" s="2">
        <v>5</v>
      </c>
      <c r="U52" s="2">
        <v>6</v>
      </c>
      <c r="V52" s="2">
        <v>7</v>
      </c>
      <c r="W52" s="2">
        <v>8</v>
      </c>
      <c r="X52" s="2">
        <v>9</v>
      </c>
      <c r="Y52" s="2">
        <v>10</v>
      </c>
      <c r="Z52" s="2">
        <v>11</v>
      </c>
      <c r="AA52" s="2">
        <v>12</v>
      </c>
      <c r="AB52" s="2">
        <v>13</v>
      </c>
      <c r="AC52" s="2">
        <v>14</v>
      </c>
      <c r="AD52" s="2">
        <v>15</v>
      </c>
      <c r="AE52" s="2">
        <v>16</v>
      </c>
      <c r="AF52" s="2">
        <v>17</v>
      </c>
      <c r="AG52" s="2">
        <v>18</v>
      </c>
    </row>
    <row r="53" spans="1:33" ht="18" x14ac:dyDescent="0.35">
      <c r="A53" s="2"/>
      <c r="B53" s="52" t="s">
        <v>48</v>
      </c>
      <c r="C53" s="7"/>
      <c r="D53" s="7"/>
      <c r="E53" s="53"/>
      <c r="G53" s="160" t="s">
        <v>169</v>
      </c>
      <c r="H53"/>
      <c r="I53" s="165" t="s">
        <v>8</v>
      </c>
      <c r="J53" s="9"/>
      <c r="K53" s="53"/>
      <c r="O53" s="2" t="s">
        <v>42</v>
      </c>
      <c r="P53" s="2">
        <f t="shared" ref="P53:X53" si="7">IF($D$52&gt;=P52,B62,0)</f>
        <v>0</v>
      </c>
      <c r="Q53" s="2">
        <f t="shared" si="7"/>
        <v>0</v>
      </c>
      <c r="R53" s="2">
        <f t="shared" si="7"/>
        <v>0</v>
      </c>
      <c r="S53" s="2">
        <f t="shared" si="7"/>
        <v>0</v>
      </c>
      <c r="T53" s="2">
        <f t="shared" si="7"/>
        <v>0</v>
      </c>
      <c r="U53" s="2">
        <f t="shared" si="7"/>
        <v>0</v>
      </c>
      <c r="V53" s="2">
        <f t="shared" si="7"/>
        <v>0</v>
      </c>
      <c r="W53" s="2">
        <f t="shared" si="7"/>
        <v>0</v>
      </c>
      <c r="X53" s="2">
        <f t="shared" si="7"/>
        <v>0</v>
      </c>
      <c r="Y53" s="2">
        <f t="shared" ref="Y53:AG53" si="8">IF($D$52&gt;=Y52,B69,0)</f>
        <v>0</v>
      </c>
      <c r="Z53" s="2">
        <f t="shared" si="8"/>
        <v>0</v>
      </c>
      <c r="AA53" s="2">
        <f t="shared" si="8"/>
        <v>0</v>
      </c>
      <c r="AB53" s="2">
        <f t="shared" si="8"/>
        <v>0</v>
      </c>
      <c r="AC53" s="2">
        <f t="shared" si="8"/>
        <v>0</v>
      </c>
      <c r="AD53" s="2">
        <f t="shared" si="8"/>
        <v>0</v>
      </c>
      <c r="AE53" s="2">
        <f t="shared" si="8"/>
        <v>0</v>
      </c>
      <c r="AF53" s="2">
        <f t="shared" si="8"/>
        <v>0</v>
      </c>
      <c r="AG53" s="2">
        <f t="shared" si="8"/>
        <v>0</v>
      </c>
    </row>
    <row r="54" spans="1:33" ht="15" thickBot="1" x14ac:dyDescent="0.35">
      <c r="A54" s="2"/>
      <c r="B54" s="39"/>
      <c r="C54" s="59" t="s">
        <v>131</v>
      </c>
      <c r="D54" s="170"/>
      <c r="E54" s="162" t="s">
        <v>4</v>
      </c>
      <c r="F54" s="7"/>
      <c r="G54" s="49"/>
      <c r="H54" s="159"/>
      <c r="I54" s="159"/>
      <c r="J54" s="159"/>
      <c r="K54" s="51"/>
      <c r="O54" s="2" t="s">
        <v>39</v>
      </c>
      <c r="P54" s="2">
        <f t="shared" ref="P54:X54" si="9">IF($D$52&gt;=P52,B64,0)</f>
        <v>0</v>
      </c>
      <c r="Q54" s="2">
        <f t="shared" si="9"/>
        <v>0</v>
      </c>
      <c r="R54" s="2">
        <f t="shared" si="9"/>
        <v>0</v>
      </c>
      <c r="S54" s="2">
        <f t="shared" si="9"/>
        <v>0</v>
      </c>
      <c r="T54" s="2">
        <f t="shared" si="9"/>
        <v>0</v>
      </c>
      <c r="U54" s="2">
        <f t="shared" si="9"/>
        <v>0</v>
      </c>
      <c r="V54" s="2">
        <f t="shared" si="9"/>
        <v>0</v>
      </c>
      <c r="W54" s="2">
        <f t="shared" si="9"/>
        <v>0</v>
      </c>
      <c r="X54" s="2">
        <f t="shared" si="9"/>
        <v>0</v>
      </c>
      <c r="Y54" s="2">
        <f t="shared" ref="Y54:AG54" si="10">IF($D$52&gt;=Y52,B71,0)</f>
        <v>0</v>
      </c>
      <c r="Z54" s="2">
        <f t="shared" si="10"/>
        <v>0</v>
      </c>
      <c r="AA54" s="2">
        <f t="shared" si="10"/>
        <v>0</v>
      </c>
      <c r="AB54" s="2">
        <f t="shared" si="10"/>
        <v>0</v>
      </c>
      <c r="AC54" s="2">
        <f t="shared" si="10"/>
        <v>0</v>
      </c>
      <c r="AD54" s="2">
        <f t="shared" si="10"/>
        <v>0</v>
      </c>
      <c r="AE54" s="2">
        <f t="shared" si="10"/>
        <v>0</v>
      </c>
      <c r="AF54" s="2">
        <f t="shared" si="10"/>
        <v>0</v>
      </c>
      <c r="AG54" s="2">
        <f t="shared" si="10"/>
        <v>0</v>
      </c>
    </row>
    <row r="55" spans="1:33" ht="16.2" thickBot="1" x14ac:dyDescent="0.4">
      <c r="C55" s="3"/>
      <c r="D55" s="3"/>
      <c r="E55" s="3"/>
      <c r="F55" s="3"/>
      <c r="G55" s="3"/>
      <c r="L55" s="3"/>
      <c r="M55" s="3"/>
      <c r="O55" s="3" t="s">
        <v>41</v>
      </c>
      <c r="P55" s="2">
        <f t="shared" ref="P55:X55" si="11">IF($D$52&gt;=P52,IF(P54="I/O", 2*B63,B63),0)</f>
        <v>0</v>
      </c>
      <c r="Q55" s="2">
        <f t="shared" si="11"/>
        <v>0</v>
      </c>
      <c r="R55" s="2">
        <f t="shared" si="11"/>
        <v>0</v>
      </c>
      <c r="S55" s="2">
        <f t="shared" si="11"/>
        <v>0</v>
      </c>
      <c r="T55" s="2">
        <f t="shared" si="11"/>
        <v>0</v>
      </c>
      <c r="U55" s="2">
        <f t="shared" si="11"/>
        <v>0</v>
      </c>
      <c r="V55" s="2">
        <f t="shared" si="11"/>
        <v>0</v>
      </c>
      <c r="W55" s="2">
        <f t="shared" si="11"/>
        <v>0</v>
      </c>
      <c r="X55" s="2">
        <f t="shared" si="11"/>
        <v>0</v>
      </c>
      <c r="Y55" s="2">
        <f>IF($D$52&gt;=Y52,IF(Y54="I/O", 2*B70,B70),0)</f>
        <v>0</v>
      </c>
      <c r="Z55" s="2">
        <f t="shared" ref="Z55:AG55" si="12">IF($D$52&gt;=Z52,IF(Z54="I/O", 2*C70,C70),0)</f>
        <v>0</v>
      </c>
      <c r="AA55" s="2">
        <f t="shared" si="12"/>
        <v>0</v>
      </c>
      <c r="AB55" s="2">
        <f t="shared" si="12"/>
        <v>0</v>
      </c>
      <c r="AC55" s="2">
        <f t="shared" si="12"/>
        <v>0</v>
      </c>
      <c r="AD55" s="2">
        <f t="shared" si="12"/>
        <v>0</v>
      </c>
      <c r="AE55" s="2">
        <f t="shared" si="12"/>
        <v>0</v>
      </c>
      <c r="AF55" s="2">
        <f t="shared" si="12"/>
        <v>0</v>
      </c>
      <c r="AG55" s="2">
        <f t="shared" si="12"/>
        <v>0</v>
      </c>
    </row>
    <row r="56" spans="1:33" ht="15.6" x14ac:dyDescent="0.35">
      <c r="B56" s="29" t="s">
        <v>153</v>
      </c>
      <c r="C56" s="137"/>
      <c r="D56" s="137"/>
      <c r="E56" s="137"/>
      <c r="F56" s="137"/>
      <c r="G56" s="138"/>
      <c r="H56" s="171" t="s">
        <v>155</v>
      </c>
      <c r="I56" s="171"/>
      <c r="J56" s="171"/>
      <c r="K56" s="171"/>
      <c r="L56" s="11"/>
      <c r="M56" s="3"/>
      <c r="O56" s="2" t="s">
        <v>122</v>
      </c>
      <c r="P56" s="2">
        <f t="shared" ref="P56:X56" si="13">IF($D$52&gt;=P52,B62/$Q$30,0)</f>
        <v>0</v>
      </c>
      <c r="Q56" s="2">
        <f t="shared" si="13"/>
        <v>0</v>
      </c>
      <c r="R56" s="2">
        <f t="shared" si="13"/>
        <v>0</v>
      </c>
      <c r="S56" s="2">
        <f t="shared" si="13"/>
        <v>0</v>
      </c>
      <c r="T56" s="2">
        <f t="shared" si="13"/>
        <v>0</v>
      </c>
      <c r="U56" s="2">
        <f t="shared" si="13"/>
        <v>0</v>
      </c>
      <c r="V56" s="2">
        <f t="shared" si="13"/>
        <v>0</v>
      </c>
      <c r="W56" s="2">
        <f t="shared" si="13"/>
        <v>0</v>
      </c>
      <c r="X56" s="2">
        <f t="shared" si="13"/>
        <v>0</v>
      </c>
      <c r="Y56" s="2">
        <f t="shared" ref="Y56:AG56" si="14">IF($D$52&gt;=Y52,B69/$Q$30,0)</f>
        <v>0</v>
      </c>
      <c r="Z56" s="2">
        <f t="shared" si="14"/>
        <v>0</v>
      </c>
      <c r="AA56" s="2">
        <f t="shared" si="14"/>
        <v>0</v>
      </c>
      <c r="AB56" s="2">
        <f t="shared" si="14"/>
        <v>0</v>
      </c>
      <c r="AC56" s="2">
        <f t="shared" si="14"/>
        <v>0</v>
      </c>
      <c r="AD56" s="2">
        <f t="shared" si="14"/>
        <v>0</v>
      </c>
      <c r="AE56" s="2">
        <f t="shared" si="14"/>
        <v>0</v>
      </c>
      <c r="AF56" s="2">
        <f t="shared" si="14"/>
        <v>0</v>
      </c>
      <c r="AG56" s="2">
        <f t="shared" si="14"/>
        <v>0</v>
      </c>
    </row>
    <row r="57" spans="1:33" ht="15.6" x14ac:dyDescent="0.35">
      <c r="B57" s="63"/>
      <c r="C57" s="135" t="s">
        <v>150</v>
      </c>
      <c r="D57"/>
      <c r="E57" s="163" t="s">
        <v>4</v>
      </c>
      <c r="F57" s="118"/>
      <c r="G57" s="139"/>
      <c r="H57" s="171" t="s">
        <v>154</v>
      </c>
      <c r="I57" s="171"/>
      <c r="J57" s="171"/>
      <c r="K57" s="171"/>
      <c r="L57" s="79"/>
      <c r="M57" s="3"/>
      <c r="O57" s="3" t="s">
        <v>47</v>
      </c>
      <c r="P57" s="2">
        <f t="shared" ref="P57:AG57" si="15">IF($D$52&gt;=P52,P55*(P56),0)</f>
        <v>0</v>
      </c>
      <c r="Q57" s="2">
        <f t="shared" si="15"/>
        <v>0</v>
      </c>
      <c r="R57" s="2">
        <f t="shared" si="15"/>
        <v>0</v>
      </c>
      <c r="S57" s="2">
        <f t="shared" si="15"/>
        <v>0</v>
      </c>
      <c r="T57" s="2">
        <f t="shared" si="15"/>
        <v>0</v>
      </c>
      <c r="U57" s="2">
        <f t="shared" si="15"/>
        <v>0</v>
      </c>
      <c r="V57" s="2">
        <f t="shared" si="15"/>
        <v>0</v>
      </c>
      <c r="W57" s="2">
        <f t="shared" si="15"/>
        <v>0</v>
      </c>
      <c r="X57" s="2">
        <f t="shared" si="15"/>
        <v>0</v>
      </c>
      <c r="Y57" s="2">
        <f t="shared" si="15"/>
        <v>0</v>
      </c>
      <c r="Z57" s="2">
        <f t="shared" si="15"/>
        <v>0</v>
      </c>
      <c r="AA57" s="2">
        <f t="shared" si="15"/>
        <v>0</v>
      </c>
      <c r="AB57" s="2">
        <f t="shared" si="15"/>
        <v>0</v>
      </c>
      <c r="AC57" s="2">
        <f t="shared" si="15"/>
        <v>0</v>
      </c>
      <c r="AD57" s="2">
        <f t="shared" si="15"/>
        <v>0</v>
      </c>
      <c r="AE57" s="2">
        <f t="shared" si="15"/>
        <v>0</v>
      </c>
      <c r="AF57" s="2">
        <f t="shared" si="15"/>
        <v>0</v>
      </c>
      <c r="AG57" s="2">
        <f t="shared" si="15"/>
        <v>0</v>
      </c>
    </row>
    <row r="58" spans="1:33" ht="16.8" x14ac:dyDescent="0.35">
      <c r="B58" s="63" t="s">
        <v>152</v>
      </c>
      <c r="C58" s="93"/>
      <c r="D58" s="93"/>
      <c r="E58" s="9"/>
      <c r="F58" s="118"/>
      <c r="G58" s="139"/>
      <c r="H58" s="52"/>
      <c r="I58" s="118"/>
      <c r="J58" s="118"/>
      <c r="K58" s="139"/>
      <c r="L58" s="79"/>
      <c r="M58" s="11"/>
      <c r="N58" s="81"/>
      <c r="O58" s="3" t="s">
        <v>43</v>
      </c>
      <c r="P58" s="3">
        <f>IF($D$52&gt;=P52,IF(P54="I",P55*($Q$30-$D$54/2)*(COS(P56-'C.G. &amp; Ideal Lift'!$R$10)),IF(P54="O",P55*($Q$30+$D$54/2)*(COS(P56-'C.G. &amp; Ideal Lift'!$R$10)),P55*$Q$30*(COS(P56-'C.G. &amp; Ideal Lift'!$R$10)))),0)</f>
        <v>0</v>
      </c>
      <c r="Q58" s="3">
        <f>IF($D$52&gt;=Q52,IF(Q54="I",Q55*($Q$30-$D$54/2)*(COS(Q56-'C.G. &amp; Ideal Lift'!$R$10)),IF(Q54="O",Q55*($Q$30+$D$54/2)*(COS(Q56-'C.G. &amp; Ideal Lift'!$R$10)),Q55*$Q$30*(COS(Q56-'C.G. &amp; Ideal Lift'!$R$10)))),0)</f>
        <v>0</v>
      </c>
      <c r="R58" s="118">
        <f>IF($D$52&gt;=R52,IF(R54="I",R55*($Q$30-$D$54/2)*(COS(R56-'C.G. &amp; Ideal Lift'!$R$10)),IF(R54="O",R55*($Q$30+$D$54/2)*(COS(R56-'C.G. &amp; Ideal Lift'!$R$10)),R55*$Q$30*(COS(R56-'C.G. &amp; Ideal Lift'!$R$10)))),0)</f>
        <v>0</v>
      </c>
      <c r="S58" s="118">
        <f>IF($D$52&gt;=S52,IF(S54="I",S55*($Q$30-$D$54/2)*(COS(S56-'C.G. &amp; Ideal Lift'!$R$10)),IF(S54="O",S55*($Q$30+$D$54/2)*(COS(S56-'C.G. &amp; Ideal Lift'!$R$10)),S55*$Q$30*(COS(S56-'C.G. &amp; Ideal Lift'!$R$10)))),0)</f>
        <v>0</v>
      </c>
      <c r="T58" s="118">
        <f>IF($D$52&gt;=T52,IF(T54="I",T55*($Q$30-$D$54/2)*(COS(T56-'C.G. &amp; Ideal Lift'!$R$10)),IF(T54="O",T55*($Q$30+$D$54/2)*(COS(T56-'C.G. &amp; Ideal Lift'!$R$10)),T55*$Q$30*(COS(T56-'C.G. &amp; Ideal Lift'!$R$10)))),0)</f>
        <v>0</v>
      </c>
      <c r="U58" s="118">
        <f>IF($D$52&gt;=U52,IF(U54="I",U55*($Q$30-$D$54/2)*(COS(U56-'C.G. &amp; Ideal Lift'!$R$10)),IF(U54="O",U55*($Q$30+$D$54/2)*(COS(U56-'C.G. &amp; Ideal Lift'!$R$10)),U55*$Q$30*(COS(U56-'C.G. &amp; Ideal Lift'!$R$10)))),0)</f>
        <v>0</v>
      </c>
      <c r="V58" s="118">
        <f>IF($D$52&gt;=V52,IF(V54="I",V55*($Q$30-$D$54/2)*(COS(V56-'C.G. &amp; Ideal Lift'!$R$10)),IF(V54="O",V55*($Q$30+$D$54/2)*(COS(V56-'C.G. &amp; Ideal Lift'!$R$10)),V55*$Q$30*(COS(V56-'C.G. &amp; Ideal Lift'!$R$10)))),0)</f>
        <v>0</v>
      </c>
      <c r="W58" s="118">
        <f>IF($D$52&gt;=W52,IF(W54="I",W55*($Q$30-$D$54/2)*(COS(W56-'C.G. &amp; Ideal Lift'!$R$10)),IF(W54="O",W55*($Q$30+$D$54/2)*(COS(W56-'C.G. &amp; Ideal Lift'!$R$10)),W55*$Q$30*(COS(W56-'C.G. &amp; Ideal Lift'!$R$10)))),0)</f>
        <v>0</v>
      </c>
      <c r="X58" s="118">
        <f>IF($D$52&gt;=X52,IF(X54="I",X55*($Q$30-$D$54/2)*(COS(X56-'C.G. &amp; Ideal Lift'!$R$10)),IF(X54="O",X55*($Q$30+$D$54/2)*(COS(X56-'C.G. &amp; Ideal Lift'!$R$10)),X55*$Q$30*(COS(X56-'C.G. &amp; Ideal Lift'!$R$10)))),0)</f>
        <v>0</v>
      </c>
      <c r="Y58" s="118">
        <f>IF($D$52&gt;=Y52,IF(Y54="I",Y55*($Q$30-$D$54/2)*(COS(Y56-'C.G. &amp; Ideal Lift'!$R$10)),IF(Y54="O",Y55*($Q$30+$D$54/2)*(COS(Y56-'C.G. &amp; Ideal Lift'!$R$10)),Y55*$Q$30*(COS(Y56-'C.G. &amp; Ideal Lift'!$R$10)))),0)</f>
        <v>0</v>
      </c>
      <c r="Z58" s="118">
        <f>IF($D$52&gt;=Z52,IF(Z54="I",Z55*($Q$30-$D$54/2)*(COS(Z56-'C.G. &amp; Ideal Lift'!$R$10)),IF(Z54="O",Z55*($Q$30+$D$54/2)*(COS(Z56-'C.G. &amp; Ideal Lift'!$R$10)),Z55*$Q$30*(COS(Z56-'C.G. &amp; Ideal Lift'!$R$10)))),0)</f>
        <v>0</v>
      </c>
      <c r="AA58" s="118">
        <f>IF($D$52&gt;=AA52,IF(AA54="I",AA55*($Q$30-$D$54/2)*(COS(AA56-'C.G. &amp; Ideal Lift'!$R$10)),IF(AA54="O",AA55*($Q$30+$D$54/2)*(COS(AA56-'C.G. &amp; Ideal Lift'!$R$10)),AA55*$Q$30*(COS(AA56-'C.G. &amp; Ideal Lift'!$R$10)))),0)</f>
        <v>0</v>
      </c>
      <c r="AB58" s="118">
        <f>IF($D$52&gt;=AB52,IF(AB54="I",AB55*($Q$30-$D$54/2)*(COS(AB56-'C.G. &amp; Ideal Lift'!$R$10)),IF(AB54="O",AB55*($Q$30+$D$54/2)*(COS(AB56-'C.G. &amp; Ideal Lift'!$R$10)),AB55*$Q$30*(COS(AB56-'C.G. &amp; Ideal Lift'!$R$10)))),0)</f>
        <v>0</v>
      </c>
      <c r="AC58" s="118">
        <f>IF($D$52&gt;=AC52,IF(AC54="I",AC55*($Q$30-$D$54/2)*(COS(AC56-'C.G. &amp; Ideal Lift'!$R$10)),IF(AC54="O",AC55*($Q$30+$D$54/2)*(COS(AC56-'C.G. &amp; Ideal Lift'!$R$10)),AC55*$Q$30*(COS(AC56-'C.G. &amp; Ideal Lift'!$R$10)))),0)</f>
        <v>0</v>
      </c>
      <c r="AD58" s="118">
        <f>IF($D$52&gt;=AD52,IF(AD54="I",AD55*($Q$30-$D$54/2)*(COS(AD56-'C.G. &amp; Ideal Lift'!$R$10)),IF(AD54="O",AD55*($Q$30+$D$54/2)*(COS(AD56-'C.G. &amp; Ideal Lift'!$R$10)),AD55*$Q$30*(COS(AD56-'C.G. &amp; Ideal Lift'!$R$10)))),0)</f>
        <v>0</v>
      </c>
      <c r="AE58" s="118">
        <f>IF($D$52&gt;=AE52,IF(AE54="I",AE55*($Q$30-$D$54/2)*(COS(AE56-'C.G. &amp; Ideal Lift'!$R$10)),IF(AE54="O",AE55*($Q$30+$D$54/2)*(COS(AE56-'C.G. &amp; Ideal Lift'!$R$10)),AE55*$Q$30*(COS(AE56-'C.G. &amp; Ideal Lift'!$R$10)))),0)</f>
        <v>0</v>
      </c>
      <c r="AF58" s="118">
        <f>IF($D$52&gt;=AF52,IF(AF54="I",AF55*($Q$30-$D$54/2)*(COS(AF56-'C.G. &amp; Ideal Lift'!$R$10)),IF(AF54="O",AF55*($Q$30+$D$54/2)*(COS(AF56-'C.G. &amp; Ideal Lift'!$R$10)),AF55*$Q$30*(COS(AF56-'C.G. &amp; Ideal Lift'!$R$10)))),0)</f>
        <v>0</v>
      </c>
      <c r="AG58" s="118">
        <f>IF($D$52&gt;=AG52,IF(AG54="I",AG55*($Q$30-$D$54/2)*(COS(AG56-'C.G. &amp; Ideal Lift'!$R$10)),IF(AG54="O",AG55*($Q$30+$D$54/2)*(COS(AG56-'C.G. &amp; Ideal Lift'!$R$10)),AG55*$Q$30*(COS(AG56-'C.G. &amp; Ideal Lift'!$R$10)))),0)</f>
        <v>0</v>
      </c>
    </row>
    <row r="59" spans="1:33" ht="16.8" thickBot="1" x14ac:dyDescent="0.4">
      <c r="B59" s="39"/>
      <c r="C59" s="134" t="s">
        <v>151</v>
      </c>
      <c r="D59" s="166"/>
      <c r="E59" s="164" t="s">
        <v>4</v>
      </c>
      <c r="F59" s="141"/>
      <c r="G59" s="142"/>
      <c r="H59" s="140"/>
      <c r="I59" s="141"/>
      <c r="J59" s="141"/>
      <c r="K59" s="142"/>
      <c r="L59" s="3"/>
      <c r="M59" s="79"/>
      <c r="N59" s="3"/>
      <c r="O59" s="3" t="s">
        <v>62</v>
      </c>
      <c r="P59" s="3">
        <f t="shared" ref="P59:AG59" si="16">P55*-$B$29/2</f>
        <v>0</v>
      </c>
      <c r="Q59" s="3">
        <f t="shared" si="16"/>
        <v>0</v>
      </c>
      <c r="R59" s="3">
        <f t="shared" si="16"/>
        <v>0</v>
      </c>
      <c r="S59" s="3">
        <f t="shared" si="16"/>
        <v>0</v>
      </c>
      <c r="T59" s="3">
        <f t="shared" si="16"/>
        <v>0</v>
      </c>
      <c r="U59" s="3">
        <f t="shared" si="16"/>
        <v>0</v>
      </c>
      <c r="V59" s="3">
        <f t="shared" si="16"/>
        <v>0</v>
      </c>
      <c r="W59" s="3">
        <f t="shared" si="16"/>
        <v>0</v>
      </c>
      <c r="X59" s="3">
        <f t="shared" si="16"/>
        <v>0</v>
      </c>
      <c r="Y59" s="3">
        <f t="shared" si="16"/>
        <v>0</v>
      </c>
      <c r="Z59" s="3">
        <f t="shared" si="16"/>
        <v>0</v>
      </c>
      <c r="AA59" s="3">
        <f t="shared" si="16"/>
        <v>0</v>
      </c>
      <c r="AB59" s="3">
        <f t="shared" si="16"/>
        <v>0</v>
      </c>
      <c r="AC59" s="3">
        <f t="shared" si="16"/>
        <v>0</v>
      </c>
      <c r="AD59" s="3">
        <f t="shared" si="16"/>
        <v>0</v>
      </c>
      <c r="AE59" s="3">
        <f t="shared" si="16"/>
        <v>0</v>
      </c>
      <c r="AF59" s="3">
        <f t="shared" si="16"/>
        <v>0</v>
      </c>
      <c r="AG59" s="3">
        <f t="shared" si="16"/>
        <v>0</v>
      </c>
    </row>
    <row r="60" spans="1:33" x14ac:dyDescent="0.3">
      <c r="C60" s="3"/>
      <c r="D60" s="3"/>
      <c r="E60" s="3"/>
      <c r="F60" s="3"/>
      <c r="G60" s="3"/>
      <c r="H60" s="3"/>
      <c r="I60" s="3"/>
      <c r="J60" s="3"/>
      <c r="K60" s="3"/>
      <c r="M60" s="81"/>
      <c r="N60" s="3"/>
      <c r="O60" s="3"/>
      <c r="P60" s="3"/>
      <c r="Q60" s="3"/>
      <c r="R60" s="3"/>
      <c r="S60" s="3"/>
      <c r="T60" s="3"/>
      <c r="U60" s="3"/>
      <c r="V60" s="3"/>
      <c r="W60" s="3"/>
      <c r="X60" s="3"/>
    </row>
    <row r="61" spans="1:33" x14ac:dyDescent="0.3">
      <c r="A61" s="2"/>
      <c r="B61" s="114" t="str">
        <f>IF(1&lt;=$D$52,"X-Frame 1"," ")</f>
        <v xml:space="preserve"> </v>
      </c>
      <c r="C61" s="114" t="str">
        <f>IF(2&lt;=$D$52,"X-Frame 2"," ")</f>
        <v xml:space="preserve"> </v>
      </c>
      <c r="D61" s="114" t="str">
        <f>IF(3&lt;=$D$52,"X-Frame 3"," ")</f>
        <v xml:space="preserve"> </v>
      </c>
      <c r="E61" s="114" t="str">
        <f>IF(4&lt;=$D$52,"X-Frame 4"," ")</f>
        <v xml:space="preserve"> </v>
      </c>
      <c r="F61" s="114" t="str">
        <f>IF(5&lt;=$D$52,"X-Frame 5"," ")</f>
        <v xml:space="preserve"> </v>
      </c>
      <c r="G61" s="115" t="str">
        <f>IF(6&lt;=$D$52,"X-Frame 6"," ")</f>
        <v xml:space="preserve"> </v>
      </c>
      <c r="H61" s="114" t="str">
        <f>IF(7&lt;=$D$52,"X-Frame 7"," ")</f>
        <v xml:space="preserve"> </v>
      </c>
      <c r="I61" s="114" t="str">
        <f>IF(8&lt;=$D$52,"X-Frame 8"," ")</f>
        <v xml:space="preserve"> </v>
      </c>
      <c r="J61" s="114" t="str">
        <f>IF(9&lt;=$D$52,"X-Frame 9"," ")</f>
        <v xml:space="preserve"> </v>
      </c>
      <c r="K61" s="117"/>
      <c r="O61" s="3"/>
      <c r="P61" s="3"/>
      <c r="Q61" s="3"/>
      <c r="R61" s="3"/>
      <c r="S61" s="3"/>
      <c r="T61" s="3"/>
      <c r="U61" s="3"/>
      <c r="V61" s="3"/>
      <c r="W61" s="3"/>
      <c r="X61" s="3"/>
      <c r="Y61" s="3"/>
    </row>
    <row r="62" spans="1:33" ht="15.6" x14ac:dyDescent="0.35">
      <c r="A62" s="2" t="s">
        <v>132</v>
      </c>
      <c r="B62" s="167"/>
      <c r="C62" s="167"/>
      <c r="D62" s="167"/>
      <c r="E62" s="167"/>
      <c r="F62" s="167"/>
      <c r="G62" s="167"/>
      <c r="H62" s="167"/>
      <c r="I62" s="167"/>
      <c r="J62" s="167"/>
      <c r="K62" s="117"/>
      <c r="O62" s="3"/>
      <c r="P62" s="3"/>
      <c r="Q62" s="3"/>
      <c r="R62" s="3"/>
      <c r="S62" s="3"/>
      <c r="T62" s="3"/>
      <c r="U62" s="3"/>
      <c r="V62" s="3"/>
      <c r="W62" s="3"/>
      <c r="X62" s="3"/>
      <c r="Y62" s="3"/>
    </row>
    <row r="63" spans="1:33" ht="22.8" x14ac:dyDescent="0.4">
      <c r="A63" s="118" t="s">
        <v>167</v>
      </c>
      <c r="B63" s="167"/>
      <c r="C63" s="167"/>
      <c r="D63" s="167"/>
      <c r="E63" s="167"/>
      <c r="F63" s="167"/>
      <c r="G63"/>
      <c r="H63" s="167"/>
      <c r="I63"/>
      <c r="J63" s="167"/>
      <c r="K63" s="117"/>
      <c r="O63" s="118">
        <v>1</v>
      </c>
      <c r="P63" s="148" t="str">
        <f>IF(1&lt;$D$52,IF(B65&gt;MIN(C65:J65,B72:J72),O63,""),"")</f>
        <v/>
      </c>
      <c r="Q63" s="148"/>
      <c r="R63" s="3"/>
      <c r="S63" s="3"/>
      <c r="T63" s="3"/>
      <c r="U63" s="3"/>
      <c r="V63" s="3"/>
      <c r="W63" s="3"/>
      <c r="X63" s="3"/>
      <c r="Y63" s="3"/>
    </row>
    <row r="64" spans="1:33" ht="15.6" x14ac:dyDescent="0.3">
      <c r="A64" s="4" t="s">
        <v>39</v>
      </c>
      <c r="B64" s="89"/>
      <c r="C64" s="89"/>
      <c r="D64" s="89"/>
      <c r="E64" s="89"/>
      <c r="F64" s="89"/>
      <c r="G64" s="77"/>
      <c r="H64" s="89"/>
      <c r="I64" s="77"/>
      <c r="J64" s="89"/>
      <c r="K64" s="117"/>
      <c r="O64" s="118">
        <v>2</v>
      </c>
      <c r="P64" s="149" t="str">
        <f>IF(2&lt;$D$52,IF(C65&gt;MIN(D65:J65,B72:J72),O64,""),"")</f>
        <v/>
      </c>
      <c r="Q64" s="3"/>
      <c r="R64" s="3"/>
      <c r="S64" s="3"/>
      <c r="T64" s="3"/>
      <c r="U64" s="3"/>
      <c r="V64" s="3"/>
      <c r="W64" s="3"/>
      <c r="X64" s="3"/>
      <c r="Y64" s="3"/>
    </row>
    <row r="65" spans="1:25" ht="16.2" x14ac:dyDescent="0.35">
      <c r="A65" s="2" t="s">
        <v>133</v>
      </c>
      <c r="B65" s="122" t="str">
        <f>IF(1&lt;=$D$52,DEGREES(B62/$Q$30)," ")</f>
        <v xml:space="preserve"> </v>
      </c>
      <c r="C65" s="122" t="str">
        <f>IF(2&lt;=$D$52,DEGREES(C62/$Q$30)," ")</f>
        <v xml:space="preserve"> </v>
      </c>
      <c r="D65" s="122" t="str">
        <f>IF(3&lt;=$D$52,DEGREES(D62/$Q$30)," ")</f>
        <v xml:space="preserve"> </v>
      </c>
      <c r="E65" s="122" t="str">
        <f>IF(4&lt;=$D$52,DEGREES(E62/$Q$30)," ")</f>
        <v xml:space="preserve"> </v>
      </c>
      <c r="F65" s="122" t="str">
        <f>IF(5&lt;=$D$52,DEGREES(F62/$Q$30)," ")</f>
        <v xml:space="preserve"> </v>
      </c>
      <c r="G65" s="122" t="str">
        <f>IF(6&lt;=$D$52,DEGREES(G62/$Q$30)," ")</f>
        <v xml:space="preserve"> </v>
      </c>
      <c r="H65" s="122" t="str">
        <f>IF(7&lt;=$D$52,DEGREES(H62/$Q$30)," ")</f>
        <v xml:space="preserve"> </v>
      </c>
      <c r="I65" s="122" t="str">
        <f>IF(8&lt;=$D$52,DEGREES(I62/$Q$30)," ")</f>
        <v xml:space="preserve"> </v>
      </c>
      <c r="J65" s="122" t="str">
        <f>IF(9&lt;=$D$52,DEGREES(J62/$Q$30)," ")</f>
        <v xml:space="preserve"> </v>
      </c>
      <c r="K65" s="117"/>
      <c r="O65" s="118">
        <v>3</v>
      </c>
      <c r="P65" s="149" t="str">
        <f>IF(3&lt;$D$52,IF(D65&gt;MIN(E65:J65,B72:J72),O65,""),"")</f>
        <v/>
      </c>
      <c r="Q65" s="118"/>
      <c r="R65" s="118"/>
      <c r="S65" s="118"/>
      <c r="T65" s="118"/>
      <c r="U65" s="118"/>
      <c r="V65" s="118"/>
      <c r="W65" s="118"/>
      <c r="X65" s="118"/>
      <c r="Y65" s="118"/>
    </row>
    <row r="66" spans="1:25" ht="18" customHeight="1" x14ac:dyDescent="0.3">
      <c r="A66" s="2"/>
      <c r="B66" t="str">
        <f>IF(P80&gt;0,"Error: X-Frame Must Be In Order. Check X-Frame "&amp;P80&amp;".","")</f>
        <v/>
      </c>
      <c r="K66" s="85"/>
      <c r="O66" s="2">
        <v>4</v>
      </c>
      <c r="P66" s="149" t="str">
        <f>IF(4&lt;$D$52,IF(E65&gt;MIN(F65:J65,B72:J72),O66,""),"")</f>
        <v/>
      </c>
    </row>
    <row r="67" spans="1:25" ht="15.6" x14ac:dyDescent="0.3">
      <c r="A67" s="2"/>
      <c r="B67" s="143" t="str">
        <f>IF(MAX(B65:J65,B72:J72)&gt;ABS(DEGREES('C.G. &amp; Ideal Lift'!$D$4/$D$23)),"Error: Cross Frame Located Beyond Girder Total Length. Check Inputs."," ")</f>
        <v xml:space="preserve"> </v>
      </c>
      <c r="C67" s="118"/>
      <c r="D67" s="118"/>
      <c r="E67" s="118"/>
      <c r="F67" s="118"/>
      <c r="G67" s="118"/>
      <c r="H67" s="118"/>
      <c r="I67" s="118"/>
      <c r="J67" s="118"/>
      <c r="K67" s="85"/>
      <c r="O67" s="2">
        <v>5</v>
      </c>
      <c r="P67" s="149" t="str">
        <f>IF(5&lt;$D$52,IF(F65&gt;MIN(G65:J65,B72:J72),O67,""),"")</f>
        <v/>
      </c>
    </row>
    <row r="68" spans="1:25" ht="15.75" customHeight="1" x14ac:dyDescent="0.3">
      <c r="A68" s="2"/>
      <c r="B68" s="114" t="str">
        <f>IF(10&lt;=$D$52,"X-Frame 10"," ")</f>
        <v xml:space="preserve"> </v>
      </c>
      <c r="C68" s="114" t="str">
        <f>IF(11&lt;=$D$52,"X-Frame 11"," ")</f>
        <v xml:space="preserve"> </v>
      </c>
      <c r="D68" s="114" t="str">
        <f>IF(12&lt;=$D$52,"X-Frame 12"," ")</f>
        <v xml:space="preserve"> </v>
      </c>
      <c r="E68" s="114" t="str">
        <f>IF(13&lt;=$D$52,"X-Frame 13"," ")</f>
        <v xml:space="preserve"> </v>
      </c>
      <c r="F68" s="114" t="str">
        <f>IF(14&lt;=$D$52,"X-Frame 14"," ")</f>
        <v xml:space="preserve"> </v>
      </c>
      <c r="G68" s="115" t="str">
        <f>IF(15&lt;=$D$52,"X-Frame 15"," ")</f>
        <v xml:space="preserve"> </v>
      </c>
      <c r="H68" s="114" t="str">
        <f>IF(16&lt;=$D$52,"X-Frame 16"," ")</f>
        <v xml:space="preserve"> </v>
      </c>
      <c r="I68" s="114" t="str">
        <f>IF(17&lt;=$D$52,"X-Frame 17"," ")</f>
        <v xml:space="preserve"> </v>
      </c>
      <c r="J68" s="114" t="str">
        <f>IF(18&lt;=$D$52,"X-Frame 18"," ")</f>
        <v xml:space="preserve"> </v>
      </c>
      <c r="K68" s="85"/>
      <c r="O68" s="2">
        <v>6</v>
      </c>
      <c r="P68" s="149" t="str">
        <f>IF(6&lt;$D$52,IF(G65&gt;MIN(H65:J65,B72:J72),O68,""),"")</f>
        <v/>
      </c>
    </row>
    <row r="69" spans="1:25" ht="16.2" x14ac:dyDescent="0.35">
      <c r="A69" s="2" t="s">
        <v>132</v>
      </c>
      <c r="B69" s="167"/>
      <c r="C69" s="167"/>
      <c r="D69" s="167"/>
      <c r="E69" s="167"/>
      <c r="F69" s="167"/>
      <c r="G69" s="167"/>
      <c r="H69" s="167"/>
      <c r="I69" s="167"/>
      <c r="J69" s="167"/>
      <c r="K69" s="85"/>
      <c r="O69" s="2">
        <v>7</v>
      </c>
      <c r="P69" s="149" t="str">
        <f>IF(7&lt;$D$52,IF(H65&gt;MIN(I65:J65,B72:J72),O69,""),"")</f>
        <v/>
      </c>
    </row>
    <row r="70" spans="1:25" ht="16.2" x14ac:dyDescent="0.35">
      <c r="A70" s="118" t="s">
        <v>167</v>
      </c>
      <c r="B70" s="167"/>
      <c r="C70" s="167"/>
      <c r="D70" s="167"/>
      <c r="E70" s="167"/>
      <c r="F70" s="167"/>
      <c r="G70"/>
      <c r="H70" s="167"/>
      <c r="I70" s="167"/>
      <c r="J70" s="167"/>
      <c r="K70" s="85"/>
      <c r="O70" s="118">
        <v>8</v>
      </c>
      <c r="P70" s="149" t="str">
        <f>IF(8&lt;$D$52,IF(I65&gt;MIN(J65,B72:J72),O70,""),"")</f>
        <v/>
      </c>
    </row>
    <row r="71" spans="1:25" ht="15.6" x14ac:dyDescent="0.3">
      <c r="A71" s="4" t="s">
        <v>39</v>
      </c>
      <c r="B71" s="77"/>
      <c r="C71" s="89"/>
      <c r="D71" s="89"/>
      <c r="E71" s="89"/>
      <c r="F71" s="89"/>
      <c r="G71" s="77"/>
      <c r="H71" s="89"/>
      <c r="I71" s="89"/>
      <c r="J71" s="89"/>
      <c r="K71" s="85"/>
      <c r="O71" s="118">
        <v>9</v>
      </c>
      <c r="P71" s="149" t="str">
        <f>IF(9&lt;$D$52,IF(J65&gt;MIN(B72:J72),O71,""),"")</f>
        <v/>
      </c>
    </row>
    <row r="72" spans="1:25" ht="16.2" x14ac:dyDescent="0.35">
      <c r="A72" s="2" t="s">
        <v>133</v>
      </c>
      <c r="B72" s="122" t="str">
        <f>IF(10&lt;=$D$52,DEGREES(B69/$Q$30)," ")</f>
        <v xml:space="preserve"> </v>
      </c>
      <c r="C72" s="122" t="str">
        <f>IF(11&lt;=$D$52,DEGREES(C69/$Q$30)," ")</f>
        <v xml:space="preserve"> </v>
      </c>
      <c r="D72" s="122" t="str">
        <f>IF(12&lt;=$D$52,DEGREES(D69/$Q$30)," ")</f>
        <v xml:space="preserve"> </v>
      </c>
      <c r="E72" s="122" t="str">
        <f>IF(13&lt;=$D$52,DEGREES(E69/$Q$30)," ")</f>
        <v xml:space="preserve"> </v>
      </c>
      <c r="F72" s="122" t="str">
        <f>IF(14&lt;=$D$52,DEGREES(F69/$Q$30)," ")</f>
        <v xml:space="preserve"> </v>
      </c>
      <c r="G72" s="122" t="str">
        <f>IF(15&lt;=$D$52,DEGREES(G69/$Q$30)," ")</f>
        <v xml:space="preserve"> </v>
      </c>
      <c r="H72" s="122" t="str">
        <f>IF(16&lt;=$D$52,DEGREES(H69/$Q$30)," ")</f>
        <v xml:space="preserve"> </v>
      </c>
      <c r="I72" s="122" t="str">
        <f>IF(17&lt;=$D$52,DEGREES(I69/$Q$30)," ")</f>
        <v xml:space="preserve"> </v>
      </c>
      <c r="J72" s="122" t="str">
        <f>IF(18&lt;=$D$52,DEGREES(J69/$Q$30)," ")</f>
        <v xml:space="preserve"> </v>
      </c>
      <c r="K72" s="85"/>
      <c r="O72" s="118">
        <v>10</v>
      </c>
      <c r="P72" s="149" t="str">
        <f>IF(10&lt;$D$52,IF(B72&gt;MIN(C72:J72),O72,""),"")</f>
        <v/>
      </c>
    </row>
    <row r="73" spans="1:25" ht="18" customHeight="1" x14ac:dyDescent="0.3">
      <c r="A73" s="2"/>
      <c r="K73" s="85"/>
      <c r="O73" s="2">
        <v>11</v>
      </c>
      <c r="P73" s="149" t="str">
        <f>IF(11&lt;$D$52,IF(C72&gt;MIN(D72:J72),O73,""),"")</f>
        <v/>
      </c>
    </row>
    <row r="74" spans="1:25" ht="16.2" x14ac:dyDescent="0.35">
      <c r="A74" s="2"/>
      <c r="B74" s="22" t="s">
        <v>164</v>
      </c>
      <c r="C74" s="3"/>
      <c r="D74" s="3"/>
      <c r="E74" s="3"/>
      <c r="F74" s="3"/>
      <c r="G74" s="3"/>
      <c r="H74" s="3"/>
      <c r="I74" s="3"/>
      <c r="J74" s="3"/>
      <c r="K74" s="85"/>
      <c r="O74" s="2">
        <v>12</v>
      </c>
      <c r="P74" s="149" t="str">
        <f>IF(12&lt;$D$52,IF(D72&gt;MIN(E72:J72),O74,""),"")</f>
        <v/>
      </c>
    </row>
    <row r="75" spans="1:25" ht="16.5" customHeight="1" x14ac:dyDescent="0.35">
      <c r="A75" s="2"/>
      <c r="B75" s="158" t="s">
        <v>168</v>
      </c>
      <c r="C75" s="118"/>
      <c r="D75" s="118"/>
      <c r="E75" s="118"/>
      <c r="F75" s="118"/>
      <c r="G75" s="118"/>
      <c r="H75" s="118"/>
      <c r="I75" s="118"/>
      <c r="J75" s="118"/>
      <c r="K75" s="85"/>
      <c r="O75" s="2">
        <v>13</v>
      </c>
      <c r="P75" s="149" t="str">
        <f>IF(13&lt;$D$52,IF(E72&gt;MIN(F72:J72),O75,""),"")</f>
        <v/>
      </c>
    </row>
    <row r="76" spans="1:25" ht="15.6" x14ac:dyDescent="0.3">
      <c r="A76" s="2"/>
      <c r="B76" s="22" t="s">
        <v>165</v>
      </c>
      <c r="C76" s="3"/>
      <c r="D76" s="3"/>
      <c r="E76" s="3"/>
      <c r="F76" s="3"/>
      <c r="G76" s="3"/>
      <c r="H76" s="3"/>
      <c r="I76" s="3"/>
      <c r="J76" s="3"/>
      <c r="K76" s="85"/>
      <c r="O76" s="2">
        <v>14</v>
      </c>
      <c r="P76" s="149" t="str">
        <f>IF(14&lt;$D$52,IF(F72&gt;MIN(G72:J72),O76,""),"")</f>
        <v/>
      </c>
    </row>
    <row r="77" spans="1:25" ht="16.2" x14ac:dyDescent="0.35">
      <c r="B77" s="1" t="s">
        <v>166</v>
      </c>
      <c r="C77" s="3"/>
      <c r="D77" s="3"/>
      <c r="E77" s="3"/>
      <c r="F77" s="3"/>
      <c r="G77" s="3"/>
      <c r="H77" s="3"/>
      <c r="O77" s="118">
        <v>15</v>
      </c>
      <c r="P77" s="149" t="str">
        <f>IF(15&lt;$D$52,IF(G72&gt;MIN(H72:J72),O77,""),"")</f>
        <v/>
      </c>
    </row>
    <row r="78" spans="1:25" ht="15.6" x14ac:dyDescent="0.3">
      <c r="O78" s="118">
        <v>16</v>
      </c>
      <c r="P78" s="149" t="str">
        <f>IF(16&lt;$D$52,IF(H72&gt;MIN(I72:J72),"Error: X-Frames Must Be In Order",""),"")</f>
        <v/>
      </c>
    </row>
    <row r="79" spans="1:25" ht="15.6" x14ac:dyDescent="0.3">
      <c r="O79" s="118">
        <v>17</v>
      </c>
      <c r="P79" s="149" t="str">
        <f>IF(17&lt;$D$52,IF(I72&gt;MIN(J72),O79,""),"")</f>
        <v/>
      </c>
    </row>
    <row r="80" spans="1:25" ht="15.6" x14ac:dyDescent="0.3">
      <c r="O80" s="2">
        <v>18</v>
      </c>
      <c r="P80" s="149">
        <f>IF(SUM(P63:P79)&gt;0,MIN(P63:P79),)</f>
        <v>0</v>
      </c>
    </row>
    <row r="82" spans="1:11" x14ac:dyDescent="0.3">
      <c r="A82" s="2"/>
      <c r="B82" s="3"/>
      <c r="C82" s="3"/>
      <c r="D82" s="3"/>
      <c r="E82" s="3"/>
      <c r="F82" s="3"/>
      <c r="G82" s="3"/>
      <c r="H82" s="3"/>
      <c r="I82" s="3"/>
      <c r="J82" s="3"/>
      <c r="K82" s="85"/>
    </row>
    <row r="83" spans="1:11" x14ac:dyDescent="0.3">
      <c r="A83" s="2"/>
      <c r="B83" s="3"/>
      <c r="C83" s="3"/>
      <c r="D83" s="3"/>
      <c r="E83" s="3"/>
      <c r="F83" s="3"/>
      <c r="G83" s="3"/>
      <c r="H83" s="3"/>
      <c r="I83" s="3"/>
      <c r="J83" s="3"/>
      <c r="K83" s="85"/>
    </row>
    <row r="84" spans="1:11" x14ac:dyDescent="0.3">
      <c r="A84" s="2"/>
      <c r="B84" s="3"/>
      <c r="C84" s="3"/>
      <c r="D84" s="3"/>
      <c r="E84" s="3"/>
      <c r="F84" s="3"/>
      <c r="G84" s="3"/>
      <c r="H84" s="3"/>
      <c r="I84" s="3"/>
      <c r="J84" s="3"/>
      <c r="K84" s="85"/>
    </row>
    <row r="85" spans="1:11" x14ac:dyDescent="0.3">
      <c r="A85" s="2"/>
      <c r="B85" s="3"/>
      <c r="C85" s="3"/>
      <c r="D85" s="3"/>
      <c r="E85" s="3"/>
      <c r="F85" s="3"/>
      <c r="G85" s="3"/>
      <c r="H85" s="3"/>
      <c r="I85" s="3"/>
      <c r="J85" s="3"/>
      <c r="K85" s="85"/>
    </row>
    <row r="86" spans="1:11" x14ac:dyDescent="0.3">
      <c r="A86" s="2"/>
      <c r="B86" s="3"/>
      <c r="C86" s="3"/>
      <c r="D86" s="3"/>
      <c r="E86" s="3"/>
      <c r="F86" s="3"/>
      <c r="G86" s="3"/>
      <c r="H86" s="3"/>
      <c r="I86" s="3"/>
      <c r="J86" s="3"/>
      <c r="K86" s="85"/>
    </row>
    <row r="87" spans="1:11" x14ac:dyDescent="0.3">
      <c r="A87" s="2"/>
      <c r="B87" s="3"/>
      <c r="C87" s="3"/>
      <c r="D87" s="3"/>
      <c r="E87" s="3"/>
      <c r="F87" s="3"/>
      <c r="G87" s="3"/>
      <c r="H87" s="3"/>
      <c r="I87" s="3"/>
      <c r="J87" s="3"/>
      <c r="K87" s="85"/>
    </row>
    <row r="88" spans="1:11" x14ac:dyDescent="0.3">
      <c r="A88" s="2"/>
      <c r="B88" s="3"/>
      <c r="C88" s="3"/>
      <c r="D88" s="3"/>
      <c r="E88" s="3"/>
      <c r="F88" s="3"/>
      <c r="G88" s="3"/>
      <c r="H88" s="3"/>
      <c r="I88" s="3"/>
      <c r="J88" s="3"/>
      <c r="K88" s="85"/>
    </row>
    <row r="89" spans="1:11" x14ac:dyDescent="0.3">
      <c r="A89" s="2"/>
      <c r="B89" s="3"/>
      <c r="C89" s="3"/>
      <c r="D89" s="3"/>
      <c r="E89" s="3"/>
      <c r="F89" s="3"/>
      <c r="G89" s="3"/>
      <c r="H89" s="3"/>
      <c r="I89" s="3"/>
      <c r="J89" s="3"/>
      <c r="K89" s="85"/>
    </row>
    <row r="90" spans="1:11" x14ac:dyDescent="0.3">
      <c r="A90" s="2"/>
      <c r="B90" s="3"/>
      <c r="C90" s="3"/>
      <c r="D90" s="3"/>
      <c r="E90" s="3"/>
      <c r="F90" s="3"/>
      <c r="G90" s="3"/>
      <c r="H90" s="3"/>
      <c r="I90" s="3"/>
      <c r="J90" s="3"/>
      <c r="K90" s="85"/>
    </row>
    <row r="91" spans="1:11" x14ac:dyDescent="0.3">
      <c r="A91" s="2"/>
      <c r="B91" s="3"/>
      <c r="C91" s="3"/>
      <c r="D91" s="3"/>
      <c r="E91" s="3"/>
      <c r="F91" s="3"/>
      <c r="G91" s="3"/>
      <c r="H91" s="3"/>
      <c r="I91" s="3"/>
      <c r="J91" s="3"/>
      <c r="K91" s="85"/>
    </row>
    <row r="92" spans="1:11" x14ac:dyDescent="0.3">
      <c r="A92" s="2"/>
      <c r="B92" s="3"/>
      <c r="C92" s="3"/>
      <c r="D92" s="3"/>
      <c r="E92" s="3"/>
      <c r="F92" s="3"/>
      <c r="G92" s="3"/>
      <c r="H92" s="3"/>
      <c r="I92" s="3"/>
      <c r="J92" s="3"/>
      <c r="K92" s="85"/>
    </row>
    <row r="93" spans="1:11" x14ac:dyDescent="0.3">
      <c r="A93" s="2"/>
      <c r="B93" s="3"/>
      <c r="C93" s="3"/>
      <c r="D93" s="3"/>
      <c r="E93" s="3"/>
      <c r="F93" s="3"/>
      <c r="G93" s="3"/>
      <c r="H93" s="3"/>
      <c r="I93" s="3"/>
      <c r="J93" s="3"/>
      <c r="K93" s="85"/>
    </row>
    <row r="94" spans="1:11" x14ac:dyDescent="0.3">
      <c r="A94" s="2"/>
      <c r="B94" s="3"/>
      <c r="C94" s="3"/>
      <c r="D94" s="3"/>
      <c r="E94" s="3"/>
      <c r="F94" s="3"/>
      <c r="G94" s="3"/>
      <c r="H94" s="3"/>
      <c r="I94" s="3"/>
      <c r="J94" s="3"/>
      <c r="K94" s="85"/>
    </row>
    <row r="95" spans="1:11" x14ac:dyDescent="0.3">
      <c r="A95" s="2"/>
      <c r="B95" s="3"/>
      <c r="C95" s="3"/>
      <c r="D95" s="3"/>
      <c r="E95" s="3"/>
      <c r="F95" s="3"/>
      <c r="G95" s="3"/>
      <c r="H95" s="3"/>
      <c r="I95" s="3"/>
      <c r="J95" s="3"/>
      <c r="K95" s="85"/>
    </row>
    <row r="96" spans="1:11" x14ac:dyDescent="0.3">
      <c r="A96" s="2"/>
      <c r="B96" s="118"/>
      <c r="C96" s="118"/>
      <c r="D96" s="118"/>
      <c r="E96" s="118"/>
      <c r="F96" s="118"/>
      <c r="G96" s="118"/>
      <c r="H96" s="118"/>
      <c r="I96" s="118"/>
      <c r="J96" s="118"/>
      <c r="K96" s="85"/>
    </row>
    <row r="97" spans="1:11" x14ac:dyDescent="0.3">
      <c r="A97" s="2"/>
      <c r="B97" s="118"/>
      <c r="C97" s="118"/>
      <c r="D97" s="118"/>
      <c r="E97" s="118"/>
      <c r="F97" s="118"/>
      <c r="G97" s="118"/>
      <c r="H97" s="118"/>
      <c r="I97" s="118"/>
      <c r="J97" s="118"/>
      <c r="K97" s="85"/>
    </row>
    <row r="98" spans="1:11" x14ac:dyDescent="0.3">
      <c r="A98" s="2"/>
      <c r="B98" s="3"/>
      <c r="C98" s="3"/>
      <c r="D98" s="3"/>
      <c r="E98" s="3"/>
      <c r="F98" s="3"/>
      <c r="G98" s="3"/>
      <c r="H98" s="3"/>
      <c r="I98" s="3"/>
      <c r="J98" s="3"/>
      <c r="K98" s="85"/>
    </row>
    <row r="99" spans="1:11" x14ac:dyDescent="0.3">
      <c r="A99" s="2"/>
      <c r="B99" s="3"/>
      <c r="C99" s="3"/>
      <c r="D99" s="3"/>
      <c r="E99" s="3"/>
      <c r="F99" s="3"/>
      <c r="G99" s="3"/>
      <c r="H99" s="3"/>
      <c r="I99" s="3"/>
      <c r="J99" s="3"/>
      <c r="K99" s="85"/>
    </row>
  </sheetData>
  <mergeCells count="5">
    <mergeCell ref="C17:F17"/>
    <mergeCell ref="C18:F18"/>
    <mergeCell ref="A1:K1"/>
    <mergeCell ref="H56:K56"/>
    <mergeCell ref="H57:K57"/>
  </mergeCells>
  <dataValidations count="3">
    <dataValidation type="list" allowBlank="1" showInputMessage="1" showErrorMessage="1" sqref="L58 B71:J71 B64:J64" xr:uid="{00000000-0002-0000-0100-000000000000}">
      <formula1>$Q$10:$Q$12</formula1>
    </dataValidation>
    <dataValidation type="list" allowBlank="1" showInputMessage="1" showErrorMessage="1" sqref="D52" xr:uid="{00000000-0002-0000-0100-000001000000}">
      <formula1>$P$10:$P$28</formula1>
    </dataValidation>
    <dataValidation type="list" allowBlank="1" showInputMessage="1" showErrorMessage="1" error="This Spread Sheet Supports Between 1 and 8 Different Cross Sections." sqref="D21" xr:uid="{00000000-0002-0000-0100-000002000000}">
      <formula1>$P$11:$P$18</formula1>
    </dataValidation>
  </dataValidations>
  <pageMargins left="0.7" right="0.7" top="0.75" bottom="0.75" header="0.3" footer="0.3"/>
  <pageSetup scale="90" orientation="portrait" r:id="rId1"/>
  <headerFooter>
    <oddHeader>&amp;R&amp;D</oddHeader>
    <oddFooter>&amp;CPage &amp;P</oddFooter>
  </headerFooter>
  <rowBreaks count="4" manualBreakCount="4">
    <brk id="49" max="11" man="1"/>
    <brk id="96" max="11" man="1"/>
    <brk id="148" max="11" man="1"/>
    <brk id="197" max="11" man="1"/>
  </rowBreaks>
  <drawing r:id="rId2"/>
  <legacyDrawing r:id="rId3"/>
  <controls>
    <mc:AlternateContent xmlns:mc="http://schemas.openxmlformats.org/markup-compatibility/2006">
      <mc:Choice Requires="x14">
        <control shapeId="1593110" r:id="rId4" name="Constant_Weight_Macro">
          <controlPr defaultSize="0" autoLine="0" r:id="rId5">
            <anchor moveWithCells="1">
              <from>
                <xdr:col>9</xdr:col>
                <xdr:colOff>251460</xdr:colOff>
                <xdr:row>50</xdr:row>
                <xdr:rowOff>7620</xdr:rowOff>
              </from>
              <to>
                <xdr:col>10</xdr:col>
                <xdr:colOff>411480</xdr:colOff>
                <xdr:row>53</xdr:row>
                <xdr:rowOff>30480</xdr:rowOff>
              </to>
            </anchor>
          </controlPr>
        </control>
      </mc:Choice>
      <mc:Fallback>
        <control shapeId="1593110" r:id="rId4" name="Constant_Weight_Macro"/>
      </mc:Fallback>
    </mc:AlternateContent>
    <mc:AlternateContent xmlns:mc="http://schemas.openxmlformats.org/markup-compatibility/2006">
      <mc:Choice Requires="x14">
        <control shapeId="181384" r:id="rId6" name="Clear_Input">
          <controlPr defaultSize="0" autoLine="0" r:id="rId7">
            <anchor moveWithCells="1">
              <from>
                <xdr:col>6</xdr:col>
                <xdr:colOff>137160</xdr:colOff>
                <xdr:row>16</xdr:row>
                <xdr:rowOff>0</xdr:rowOff>
              </from>
              <to>
                <xdr:col>7</xdr:col>
                <xdr:colOff>495300</xdr:colOff>
                <xdr:row>17</xdr:row>
                <xdr:rowOff>30480</xdr:rowOff>
              </to>
            </anchor>
          </controlPr>
        </control>
      </mc:Choice>
      <mc:Fallback>
        <control shapeId="181384" r:id="rId6" name="Clear_Input"/>
      </mc:Fallback>
    </mc:AlternateContent>
    <mc:AlternateContent xmlns:mc="http://schemas.openxmlformats.org/markup-compatibility/2006">
      <mc:Choice Requires="x14">
        <control shapeId="2011" r:id="rId8" name="Constant_Space_Macro">
          <controlPr defaultSize="0" autoLine="0" r:id="rId9">
            <anchor moveWithCells="1">
              <from>
                <xdr:col>5</xdr:col>
                <xdr:colOff>190500</xdr:colOff>
                <xdr:row>55</xdr:row>
                <xdr:rowOff>99060</xdr:rowOff>
              </from>
              <to>
                <xdr:col>6</xdr:col>
                <xdr:colOff>342900</xdr:colOff>
                <xdr:row>58</xdr:row>
                <xdr:rowOff>144780</xdr:rowOff>
              </to>
            </anchor>
          </controlPr>
        </control>
      </mc:Choice>
      <mc:Fallback>
        <control shapeId="2011" r:id="rId8" name="Constant_Space_Macro"/>
      </mc:Fallback>
    </mc:AlternateContent>
    <mc:AlternateContent xmlns:mc="http://schemas.openxmlformats.org/markup-compatibility/2006">
      <mc:Choice Requires="x14">
        <control shapeId="181403" r:id="rId10" name="All_Inside">
          <controlPr defaultSize="0" autoLine="0" r:id="rId11">
            <anchor moveWithCells="1">
              <from>
                <xdr:col>7</xdr:col>
                <xdr:colOff>76200</xdr:colOff>
                <xdr:row>57</xdr:row>
                <xdr:rowOff>0</xdr:rowOff>
              </from>
              <to>
                <xdr:col>8</xdr:col>
                <xdr:colOff>38100</xdr:colOff>
                <xdr:row>58</xdr:row>
                <xdr:rowOff>91440</xdr:rowOff>
              </to>
            </anchor>
          </controlPr>
        </control>
      </mc:Choice>
      <mc:Fallback>
        <control shapeId="181403" r:id="rId10" name="All_Inside"/>
      </mc:Fallback>
    </mc:AlternateContent>
    <mc:AlternateContent xmlns:mc="http://schemas.openxmlformats.org/markup-compatibility/2006">
      <mc:Choice Requires="x14">
        <control shapeId="181404" r:id="rId12" name="All_Outside">
          <controlPr defaultSize="0" autoLine="0" r:id="rId13">
            <anchor moveWithCells="1">
              <from>
                <xdr:col>8</xdr:col>
                <xdr:colOff>297180</xdr:colOff>
                <xdr:row>57</xdr:row>
                <xdr:rowOff>0</xdr:rowOff>
              </from>
              <to>
                <xdr:col>9</xdr:col>
                <xdr:colOff>259080</xdr:colOff>
                <xdr:row>58</xdr:row>
                <xdr:rowOff>91440</xdr:rowOff>
              </to>
            </anchor>
          </controlPr>
        </control>
      </mc:Choice>
      <mc:Fallback>
        <control shapeId="181404" r:id="rId12" name="All_Outside"/>
      </mc:Fallback>
    </mc:AlternateContent>
    <mc:AlternateContent xmlns:mc="http://schemas.openxmlformats.org/markup-compatibility/2006">
      <mc:Choice Requires="x14">
        <control shapeId="181405" r:id="rId14" name="All_Both">
          <controlPr defaultSize="0" autoLine="0" r:id="rId15">
            <anchor moveWithCells="1">
              <from>
                <xdr:col>9</xdr:col>
                <xdr:colOff>441960</xdr:colOff>
                <xdr:row>56</xdr:row>
                <xdr:rowOff>190500</xdr:rowOff>
              </from>
              <to>
                <xdr:col>10</xdr:col>
                <xdr:colOff>411480</xdr:colOff>
                <xdr:row>58</xdr:row>
                <xdr:rowOff>83820</xdr:rowOff>
              </to>
            </anchor>
          </controlPr>
        </control>
      </mc:Choice>
      <mc:Fallback>
        <control shapeId="181405" r:id="rId14" name="All_Both"/>
      </mc:Fallback>
    </mc:AlternateContent>
    <mc:AlternateContent xmlns:mc="http://schemas.openxmlformats.org/markup-compatibility/2006">
      <mc:Choice Requires="x14">
        <control shapeId="1117" r:id="rId16" name="Cal_Rotation_Stress">
          <controlPr defaultSize="0" autoLine="0" r:id="rId17">
            <anchor moveWithCells="1">
              <from>
                <xdr:col>1</xdr:col>
                <xdr:colOff>0</xdr:colOff>
                <xdr:row>183</xdr:row>
                <xdr:rowOff>106680</xdr:rowOff>
              </from>
              <to>
                <xdr:col>3</xdr:col>
                <xdr:colOff>594360</xdr:colOff>
                <xdr:row>185</xdr:row>
                <xdr:rowOff>137160</xdr:rowOff>
              </to>
            </anchor>
          </controlPr>
        </control>
      </mc:Choice>
      <mc:Fallback>
        <control shapeId="1117" r:id="rId16" name="Cal_Rotation_Stres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S237"/>
  <sheetViews>
    <sheetView view="pageBreakPreview" topLeftCell="F1" zoomScale="130" zoomScaleNormal="80" zoomScaleSheetLayoutView="130" workbookViewId="0">
      <selection activeCell="R10" sqref="R10"/>
    </sheetView>
  </sheetViews>
  <sheetFormatPr defaultColWidth="9.109375" defaultRowHeight="14.4" x14ac:dyDescent="0.3"/>
  <cols>
    <col min="1" max="1" width="6.33203125" style="151" customWidth="1"/>
    <col min="2" max="3" width="9.44140625" style="151" customWidth="1"/>
    <col min="4" max="4" width="9.88671875" style="151" customWidth="1"/>
    <col min="5" max="5" width="9" style="151" bestFit="1" customWidth="1"/>
    <col min="6" max="9" width="9" style="151" customWidth="1"/>
    <col min="10" max="10" width="8.88671875" style="151" customWidth="1"/>
    <col min="11" max="11" width="2.33203125" style="151" customWidth="1"/>
    <col min="12" max="12" width="8" style="151" customWidth="1"/>
    <col min="13" max="14" width="9.109375" style="151" customWidth="1"/>
    <col min="15" max="15" width="7.44140625" style="151" customWidth="1"/>
    <col min="16" max="16" width="25.6640625" style="151" customWidth="1"/>
    <col min="17" max="17" width="14.44140625" style="151" customWidth="1"/>
    <col min="18" max="18" width="11.109375" style="151" customWidth="1"/>
    <col min="19" max="20" width="9.33203125" style="151" customWidth="1"/>
    <col min="21" max="34" width="9.109375" style="151" customWidth="1"/>
    <col min="35" max="16384" width="9.109375" style="151"/>
  </cols>
  <sheetData>
    <row r="1" spans="1:19" s="1" customFormat="1" x14ac:dyDescent="0.3">
      <c r="B1" s="12" t="s">
        <v>111</v>
      </c>
      <c r="M1" s="11"/>
      <c r="N1" s="11"/>
    </row>
    <row r="2" spans="1:19" s="1" customFormat="1" x14ac:dyDescent="0.3"/>
    <row r="3" spans="1:19" s="1" customFormat="1" x14ac:dyDescent="0.3">
      <c r="B3" s="1" t="s">
        <v>3</v>
      </c>
    </row>
    <row r="4" spans="1:19" s="1" customFormat="1" x14ac:dyDescent="0.3">
      <c r="B4" s="15"/>
      <c r="C4" s="16" t="s">
        <v>18</v>
      </c>
      <c r="D4" s="23">
        <f>SUM('Girder Input'!P41:W41)</f>
        <v>140.655</v>
      </c>
      <c r="E4" s="9" t="s">
        <v>4</v>
      </c>
      <c r="F4" s="7"/>
      <c r="G4" s="7"/>
      <c r="H4" s="7"/>
      <c r="I4" s="7"/>
    </row>
    <row r="5" spans="1:19" s="1" customFormat="1" x14ac:dyDescent="0.3">
      <c r="B5" s="1" t="s">
        <v>6</v>
      </c>
      <c r="D5" s="2"/>
    </row>
    <row r="6" spans="1:19" s="1" customFormat="1" x14ac:dyDescent="0.3">
      <c r="B6" s="15"/>
      <c r="C6" s="16" t="s">
        <v>7</v>
      </c>
      <c r="D6" s="24">
        <f>SUMPRODUCT('Girder Input'!P41:W41,'Girder Input'!P42:W42)+SUM('Girder Input'!P55:AG55)</f>
        <v>63129.187037109376</v>
      </c>
      <c r="E6" s="9" t="s">
        <v>8</v>
      </c>
      <c r="F6" s="7"/>
      <c r="G6" s="7"/>
      <c r="H6" s="7"/>
      <c r="I6" s="7"/>
    </row>
    <row r="7" spans="1:19" s="1" customFormat="1" x14ac:dyDescent="0.3">
      <c r="B7" s="25"/>
      <c r="C7" s="26"/>
      <c r="D7" s="27">
        <f>D6/1000</f>
        <v>63.129187037109375</v>
      </c>
      <c r="E7" s="28" t="s">
        <v>9</v>
      </c>
      <c r="F7" s="7"/>
      <c r="G7" s="7"/>
      <c r="H7" s="7"/>
      <c r="I7" s="7"/>
    </row>
    <row r="8" spans="1:19" s="1" customFormat="1" ht="15" thickBot="1" x14ac:dyDescent="0.35"/>
    <row r="9" spans="1:19" s="1" customFormat="1" x14ac:dyDescent="0.3">
      <c r="B9" s="29" t="s">
        <v>103</v>
      </c>
      <c r="C9" s="30"/>
      <c r="D9" s="30"/>
      <c r="E9" s="31"/>
      <c r="F9" s="7"/>
      <c r="G9" s="7"/>
      <c r="H9" s="7"/>
      <c r="I9" s="7"/>
      <c r="P9" s="29" t="s">
        <v>103</v>
      </c>
      <c r="Q9" s="30"/>
      <c r="R9" s="30"/>
      <c r="S9" s="31"/>
    </row>
    <row r="10" spans="1:19" s="1" customFormat="1" ht="20.25" customHeight="1" thickBot="1" x14ac:dyDescent="0.4">
      <c r="A10" s="7"/>
      <c r="B10" s="32"/>
      <c r="C10" s="33" t="s">
        <v>66</v>
      </c>
      <c r="D10" s="34">
        <f>DEGREES(R10)</f>
        <v>1.8096750501313075</v>
      </c>
      <c r="E10" s="35" t="s">
        <v>29</v>
      </c>
      <c r="F10" s="7"/>
      <c r="G10" s="7"/>
      <c r="H10" s="7"/>
      <c r="I10" s="7"/>
      <c r="J10" s="11"/>
      <c r="K10" s="11"/>
      <c r="L10" s="11"/>
      <c r="P10" s="32"/>
      <c r="Q10" s="33" t="s">
        <v>66</v>
      </c>
      <c r="R10" s="34">
        <f>((SUM('Girder Input'!P45:W45)/2)+SUM('Girder Input'!P57:AG57))/(SUM('Girder Input'!P44:W44)+SUM('Girder Input'!P55:AG55))</f>
        <v>3.1584788015984758E-2</v>
      </c>
      <c r="S10" s="35"/>
    </row>
    <row r="11" spans="1:19" s="1" customFormat="1" ht="15" thickBot="1" x14ac:dyDescent="0.35">
      <c r="A11" s="7"/>
      <c r="B11" s="11"/>
      <c r="C11" s="88"/>
      <c r="D11" s="36"/>
      <c r="E11" s="7"/>
      <c r="F11" s="7"/>
      <c r="G11" s="7"/>
      <c r="H11" s="7"/>
      <c r="I11" s="7"/>
      <c r="J11" s="11"/>
      <c r="K11" s="11"/>
      <c r="L11" s="11"/>
    </row>
    <row r="12" spans="1:19" s="1" customFormat="1" x14ac:dyDescent="0.3">
      <c r="B12" s="29" t="s">
        <v>104</v>
      </c>
      <c r="C12" s="30"/>
      <c r="D12" s="37"/>
      <c r="E12" s="38"/>
      <c r="F12" s="41"/>
      <c r="G12" s="41"/>
      <c r="H12" s="41"/>
      <c r="I12" s="41"/>
    </row>
    <row r="13" spans="1:19" s="1" customFormat="1" ht="20.25" customHeight="1" thickBot="1" x14ac:dyDescent="0.35">
      <c r="B13" s="39"/>
      <c r="C13" s="33" t="s">
        <v>68</v>
      </c>
      <c r="D13" s="40">
        <f>$R$10*'Girder Input'!$Q$30</f>
        <v>73.813649593356374</v>
      </c>
      <c r="E13" s="35" t="s">
        <v>4</v>
      </c>
      <c r="F13" s="7"/>
      <c r="G13" s="7"/>
      <c r="H13" s="7"/>
      <c r="I13" s="7"/>
    </row>
    <row r="14" spans="1:19" s="1" customFormat="1" ht="15" thickBot="1" x14ac:dyDescent="0.35">
      <c r="B14" s="7"/>
      <c r="C14" s="88"/>
      <c r="D14" s="41"/>
      <c r="E14" s="7"/>
      <c r="F14" s="7"/>
      <c r="G14" s="7"/>
      <c r="H14" s="7"/>
      <c r="I14" s="7"/>
    </row>
    <row r="15" spans="1:19" s="1" customFormat="1" x14ac:dyDescent="0.3">
      <c r="B15" s="29" t="s">
        <v>105</v>
      </c>
      <c r="C15" s="30"/>
      <c r="D15" s="37"/>
      <c r="E15" s="31"/>
      <c r="F15" s="7"/>
      <c r="G15" s="7"/>
      <c r="H15" s="7"/>
      <c r="I15" s="7"/>
      <c r="M15" s="75"/>
      <c r="N15" s="75"/>
    </row>
    <row r="16" spans="1:19" s="1" customFormat="1" ht="19.5" customHeight="1" thickBot="1" x14ac:dyDescent="0.35">
      <c r="B16" s="39"/>
      <c r="C16" s="33" t="s">
        <v>67</v>
      </c>
      <c r="D16" s="161">
        <f>(SUM('Girder Input'!P46:W46)+SUM('Girder Input'!P58:AG58))/(SUM('Girder Input'!P44:W44)+SUM('Girder Input'!P55:AG55))</f>
        <v>2336.6727152267258</v>
      </c>
      <c r="E16" s="35" t="s">
        <v>4</v>
      </c>
      <c r="F16" s="7"/>
      <c r="G16" s="7"/>
      <c r="H16" s="7"/>
      <c r="I16" s="7"/>
    </row>
    <row r="17" spans="1:19" s="1" customFormat="1" ht="15" thickBot="1" x14ac:dyDescent="0.35">
      <c r="B17" s="7"/>
      <c r="C17" s="88"/>
      <c r="D17" s="41"/>
      <c r="E17" s="7"/>
      <c r="F17" s="7"/>
      <c r="G17" s="7"/>
      <c r="H17" s="7"/>
      <c r="I17" s="7"/>
    </row>
    <row r="18" spans="1:19" s="1" customFormat="1" x14ac:dyDescent="0.3">
      <c r="B18" s="29" t="s">
        <v>106</v>
      </c>
      <c r="C18" s="30"/>
      <c r="D18" s="42"/>
      <c r="E18" s="31"/>
      <c r="F18" s="7"/>
      <c r="G18" s="7"/>
      <c r="H18" s="7"/>
      <c r="I18" s="7"/>
    </row>
    <row r="19" spans="1:19" s="1" customFormat="1" ht="15" thickBot="1" x14ac:dyDescent="0.35">
      <c r="B19" s="39" t="s">
        <v>11</v>
      </c>
      <c r="C19" s="43" t="s">
        <v>124</v>
      </c>
      <c r="D19" s="40">
        <f>'Girder Input'!$Q$30-$D$16</f>
        <v>0.32728477327418659</v>
      </c>
      <c r="E19" s="35" t="s">
        <v>4</v>
      </c>
      <c r="F19" s="7"/>
      <c r="G19" s="7"/>
      <c r="H19" s="7"/>
      <c r="I19" s="7"/>
    </row>
    <row r="20" spans="1:19" s="1" customFormat="1" ht="15" thickBot="1" x14ac:dyDescent="0.35">
      <c r="B20" s="7"/>
      <c r="C20" s="7"/>
      <c r="D20" s="44"/>
      <c r="E20" s="7"/>
      <c r="F20" s="7"/>
      <c r="G20" s="7"/>
      <c r="H20" s="7"/>
      <c r="I20" s="7"/>
    </row>
    <row r="21" spans="1:19" s="1" customFormat="1" x14ac:dyDescent="0.3">
      <c r="B21" s="45" t="s">
        <v>107</v>
      </c>
      <c r="C21" s="46"/>
      <c r="D21" s="47"/>
      <c r="E21" s="48"/>
      <c r="F21" s="7"/>
      <c r="G21" s="7"/>
      <c r="H21" s="7"/>
      <c r="I21" s="7"/>
    </row>
    <row r="22" spans="1:19" s="1" customFormat="1" ht="21" customHeight="1" thickBot="1" x14ac:dyDescent="0.35">
      <c r="B22" s="49"/>
      <c r="C22" s="123" t="s">
        <v>123</v>
      </c>
      <c r="D22" s="50">
        <f>-1*(SUM('Girder Input'!P48:W48)+SUM('Girder Input'!P59:AG59))/D6</f>
        <v>41.776847563452904</v>
      </c>
      <c r="E22" s="51" t="s">
        <v>26</v>
      </c>
      <c r="F22" s="7"/>
      <c r="G22" s="7"/>
      <c r="H22" s="7"/>
      <c r="I22" s="7"/>
    </row>
    <row r="23" spans="1:19" s="1" customFormat="1" x14ac:dyDescent="0.3">
      <c r="B23" s="88"/>
      <c r="C23" s="88"/>
    </row>
    <row r="24" spans="1:19" s="1" customFormat="1" x14ac:dyDescent="0.3"/>
    <row r="25" spans="1:19" s="1" customFormat="1" x14ac:dyDescent="0.3">
      <c r="A25" s="171" t="s">
        <v>193</v>
      </c>
      <c r="B25" s="171"/>
      <c r="C25" s="171"/>
      <c r="D25" s="171"/>
      <c r="E25" s="171"/>
      <c r="F25" s="171"/>
      <c r="G25" s="171"/>
      <c r="H25" s="171"/>
      <c r="I25" s="171"/>
      <c r="J25" s="171"/>
      <c r="K25" s="171"/>
      <c r="L25" s="171"/>
    </row>
    <row r="26" spans="1:19" s="1" customFormat="1" x14ac:dyDescent="0.3"/>
    <row r="27" spans="1:19" s="1" customFormat="1" ht="15" thickBot="1" x14ac:dyDescent="0.35"/>
    <row r="28" spans="1:19" s="1" customFormat="1" x14ac:dyDescent="0.3">
      <c r="B28" s="29" t="s">
        <v>58</v>
      </c>
      <c r="C28" s="30"/>
      <c r="D28" s="30"/>
      <c r="E28" s="31"/>
      <c r="F28" s="7"/>
      <c r="G28" s="7"/>
      <c r="H28" s="7"/>
      <c r="I28" s="7"/>
      <c r="P28" s="29" t="s">
        <v>58</v>
      </c>
      <c r="Q28" s="30"/>
      <c r="R28" s="30"/>
      <c r="S28" s="31"/>
    </row>
    <row r="29" spans="1:19" s="1" customFormat="1" ht="17.399999999999999" x14ac:dyDescent="0.3">
      <c r="B29" s="52" t="s">
        <v>108</v>
      </c>
      <c r="C29" s="7"/>
      <c r="D29" s="7"/>
      <c r="E29" s="53"/>
      <c r="F29" s="7"/>
      <c r="G29" s="7"/>
      <c r="H29" s="7"/>
      <c r="I29" s="7"/>
      <c r="P29" s="52" t="s">
        <v>108</v>
      </c>
      <c r="Q29" s="7"/>
      <c r="R29" s="7"/>
      <c r="S29" s="53"/>
    </row>
    <row r="30" spans="1:19" s="1" customFormat="1" ht="15" thickBot="1" x14ac:dyDescent="0.35">
      <c r="B30" s="39"/>
      <c r="C30" s="127" t="s">
        <v>136</v>
      </c>
      <c r="D30" s="55">
        <f>IF(D16&lt;'Girder Input'!Q30,DEGREES(R30)," ")</f>
        <v>0.95890645647075623</v>
      </c>
      <c r="E30" s="124" t="s">
        <v>29</v>
      </c>
      <c r="F30" s="80"/>
      <c r="G30" s="80"/>
      <c r="H30" s="80"/>
      <c r="I30" s="80"/>
      <c r="P30" s="39"/>
      <c r="Q30" s="54" t="s">
        <v>15</v>
      </c>
      <c r="R30" s="55">
        <f>IF(D16&lt;'Girder Input'!Q30,ACOS(D16/'Girder Input'!Q30)," ")</f>
        <v>1.6736074884046381E-2</v>
      </c>
      <c r="S30" s="56" t="str">
        <f>IF(ABS(D16)&lt;ABS('Girder Input'!D23)," ","C.G. IS OUTSIDE OF GIRDER")</f>
        <v xml:space="preserve"> </v>
      </c>
    </row>
    <row r="31" spans="1:19" s="1" customFormat="1" ht="15" thickBot="1" x14ac:dyDescent="0.35">
      <c r="C31" s="14"/>
      <c r="D31" s="125" t="str">
        <f>IF(ABS(D16)&lt;ABS('Girder Input'!D23)," ","C.G. IS OUTSIDE OF GIRDER")</f>
        <v xml:space="preserve"> </v>
      </c>
    </row>
    <row r="32" spans="1:19" s="1" customFormat="1" x14ac:dyDescent="0.3">
      <c r="B32" s="29" t="s">
        <v>14</v>
      </c>
      <c r="C32" s="57"/>
      <c r="D32" s="37"/>
      <c r="E32" s="31"/>
      <c r="F32" s="7"/>
      <c r="G32" s="7"/>
      <c r="H32" s="7"/>
      <c r="I32" s="7"/>
    </row>
    <row r="33" spans="2:14" s="1" customFormat="1" ht="16.2" thickBot="1" x14ac:dyDescent="0.4">
      <c r="B33" s="39"/>
      <c r="C33" s="54" t="s">
        <v>137</v>
      </c>
      <c r="D33" s="40">
        <f>'Girder Input'!Q30*(R10-R30)</f>
        <v>34.701442589339983</v>
      </c>
      <c r="E33" s="35" t="s">
        <v>4</v>
      </c>
      <c r="F33" s="7"/>
      <c r="G33" s="7"/>
      <c r="H33" s="7"/>
      <c r="I33" s="7"/>
    </row>
    <row r="34" spans="2:14" s="1" customFormat="1" ht="15" thickBot="1" x14ac:dyDescent="0.35">
      <c r="C34" s="14"/>
    </row>
    <row r="35" spans="2:14" s="1" customFormat="1" x14ac:dyDescent="0.3">
      <c r="B35" s="29" t="s">
        <v>112</v>
      </c>
      <c r="C35" s="57"/>
      <c r="D35" s="37"/>
      <c r="E35" s="31"/>
      <c r="F35" s="7"/>
      <c r="G35" s="7"/>
      <c r="H35" s="7"/>
      <c r="I35" s="7"/>
    </row>
    <row r="36" spans="2:14" s="1" customFormat="1" ht="16.2" thickBot="1" x14ac:dyDescent="0.4">
      <c r="B36" s="39"/>
      <c r="C36" s="54" t="s">
        <v>138</v>
      </c>
      <c r="D36" s="40">
        <f>D33+2*'Girder Input'!Q30*R30</f>
        <v>112.92585659737276</v>
      </c>
      <c r="E36" s="35" t="s">
        <v>4</v>
      </c>
      <c r="F36" s="7"/>
      <c r="G36" s="7"/>
      <c r="H36" s="7"/>
      <c r="I36" s="7"/>
    </row>
    <row r="37" spans="2:14" s="1" customFormat="1" ht="15" thickBot="1" x14ac:dyDescent="0.35"/>
    <row r="38" spans="2:14" s="1" customFormat="1" x14ac:dyDescent="0.3">
      <c r="B38" s="29" t="s">
        <v>63</v>
      </c>
      <c r="C38" s="57"/>
      <c r="D38" s="37"/>
      <c r="E38" s="31"/>
      <c r="F38" s="7"/>
      <c r="G38" s="7"/>
      <c r="H38" s="7"/>
      <c r="I38" s="7"/>
    </row>
    <row r="39" spans="2:14" s="1" customFormat="1" ht="15" thickBot="1" x14ac:dyDescent="0.35">
      <c r="B39" s="39"/>
      <c r="C39" s="128" t="s">
        <v>139</v>
      </c>
      <c r="D39" s="40">
        <f>2*'Girder Input'!$Q$30*SIN(R30)</f>
        <v>78.220762332289468</v>
      </c>
      <c r="E39" s="35" t="s">
        <v>4</v>
      </c>
      <c r="F39" s="7"/>
      <c r="G39" s="7"/>
      <c r="H39" s="7"/>
      <c r="I39" s="7"/>
      <c r="M39" s="75"/>
      <c r="N39" s="75"/>
    </row>
    <row r="40" spans="2:14" s="1" customFormat="1" ht="15" thickBot="1" x14ac:dyDescent="0.35"/>
    <row r="41" spans="2:14" s="1" customFormat="1" x14ac:dyDescent="0.3">
      <c r="B41" s="29" t="s">
        <v>16</v>
      </c>
      <c r="C41" s="30"/>
      <c r="D41" s="30"/>
      <c r="E41" s="31"/>
      <c r="F41" s="7"/>
      <c r="G41" s="7"/>
      <c r="H41" s="7"/>
      <c r="I41" s="7"/>
    </row>
    <row r="42" spans="2:14" s="1" customFormat="1" ht="15" thickBot="1" x14ac:dyDescent="0.35">
      <c r="B42" s="39"/>
      <c r="C42" s="59" t="s">
        <v>17</v>
      </c>
      <c r="D42" s="60">
        <f>D7/2</f>
        <v>31.564593518554688</v>
      </c>
      <c r="E42" s="35" t="s">
        <v>9</v>
      </c>
      <c r="F42" s="7"/>
      <c r="G42" s="7"/>
      <c r="H42" s="7"/>
      <c r="I42" s="7"/>
    </row>
    <row r="43" spans="2:14" s="1" customFormat="1" x14ac:dyDescent="0.3"/>
    <row r="44" spans="2:14" s="1" customFormat="1" x14ac:dyDescent="0.3"/>
    <row r="45" spans="2:14" s="1" customFormat="1" x14ac:dyDescent="0.3"/>
    <row r="46" spans="2:14" s="1" customFormat="1" x14ac:dyDescent="0.3"/>
    <row r="47" spans="2:14" s="1" customFormat="1" x14ac:dyDescent="0.3"/>
    <row r="48" spans="2:14" s="1" customFormat="1" x14ac:dyDescent="0.3"/>
    <row r="49" s="1" customFormat="1" x14ac:dyDescent="0.3"/>
    <row r="67" ht="31.5" customHeight="1" x14ac:dyDescent="0.3"/>
    <row r="73" ht="32.25" customHeight="1" x14ac:dyDescent="0.3"/>
    <row r="96" ht="15" hidden="1" customHeight="1" x14ac:dyDescent="0.3"/>
    <row r="97" ht="15" hidden="1" customHeight="1" x14ac:dyDescent="0.3"/>
    <row r="98" ht="15" hidden="1" customHeight="1" x14ac:dyDescent="0.3"/>
    <row r="108" ht="20.25" customHeight="1" x14ac:dyDescent="0.3"/>
    <row r="111" ht="20.25" customHeight="1" x14ac:dyDescent="0.3"/>
    <row r="114" ht="19.5" customHeight="1" x14ac:dyDescent="0.3"/>
    <row r="120" ht="21" customHeight="1" x14ac:dyDescent="0.3"/>
    <row r="214" ht="31.5" customHeight="1" x14ac:dyDescent="0.3"/>
    <row r="223" ht="31.5" customHeight="1" x14ac:dyDescent="0.3"/>
    <row r="231" ht="17.25" customHeight="1" x14ac:dyDescent="0.3"/>
    <row r="237" ht="17.25" customHeight="1" x14ac:dyDescent="0.3"/>
  </sheetData>
  <mergeCells count="1">
    <mergeCell ref="A25:L25"/>
  </mergeCells>
  <pageMargins left="0.7" right="0.7" top="0.75" bottom="0.75" header="0.3" footer="0.3"/>
  <pageSetup scale="91" firstPageNumber="3" orientation="portrait" useFirstPageNumber="1" r:id="rId1"/>
  <headerFooter>
    <oddHeader>&amp;R&amp;D</oddHeader>
    <oddFooter>&amp;CPage &amp;P</oddFooter>
  </headerFooter>
  <colBreaks count="1" manualBreakCount="1">
    <brk id="12"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237"/>
  <sheetViews>
    <sheetView view="pageBreakPreview" zoomScale="115" zoomScaleNormal="100" zoomScaleSheetLayoutView="115" workbookViewId="0">
      <selection activeCell="E17" sqref="E17"/>
    </sheetView>
  </sheetViews>
  <sheetFormatPr defaultColWidth="9.109375" defaultRowHeight="14.4" x14ac:dyDescent="0.3"/>
  <cols>
    <col min="1" max="1" width="6.33203125" style="151" customWidth="1"/>
    <col min="2" max="3" width="9.44140625" style="151" customWidth="1"/>
    <col min="4" max="4" width="9.88671875" style="151" customWidth="1"/>
    <col min="5" max="5" width="9" style="151" bestFit="1" customWidth="1"/>
    <col min="6" max="9" width="9" style="151" customWidth="1"/>
    <col min="10" max="10" width="8.88671875" style="151" customWidth="1"/>
    <col min="11" max="11" width="2.33203125" style="151" customWidth="1"/>
    <col min="12" max="12" width="8" style="151" customWidth="1"/>
    <col min="13" max="14" width="9.109375" style="151" customWidth="1"/>
    <col min="15" max="15" width="7.44140625" style="151" customWidth="1"/>
    <col min="16" max="16" width="25.6640625" style="151" hidden="1" customWidth="1"/>
    <col min="17" max="17" width="14.44140625" style="151" hidden="1" customWidth="1"/>
    <col min="18" max="18" width="11.109375" style="151" hidden="1" customWidth="1"/>
    <col min="19" max="20" width="9.33203125" style="151" customWidth="1"/>
    <col min="21" max="34" width="9.109375" style="151" customWidth="1"/>
    <col min="35" max="16384" width="9.109375" style="151"/>
  </cols>
  <sheetData>
    <row r="1" spans="1:18" s="1" customFormat="1" x14ac:dyDescent="0.3"/>
    <row r="2" spans="1:18" s="1" customFormat="1" x14ac:dyDescent="0.3">
      <c r="A2" s="171" t="s">
        <v>194</v>
      </c>
      <c r="B2" s="171"/>
      <c r="C2" s="171"/>
      <c r="D2" s="171"/>
      <c r="E2" s="171"/>
      <c r="F2" s="171"/>
      <c r="G2" s="171"/>
      <c r="H2" s="171"/>
      <c r="I2" s="171"/>
      <c r="J2" s="171"/>
      <c r="K2" s="171"/>
      <c r="L2" s="171"/>
    </row>
    <row r="3" spans="1:18" s="1" customFormat="1" x14ac:dyDescent="0.3"/>
    <row r="4" spans="1:18" s="1" customFormat="1" x14ac:dyDescent="0.3"/>
    <row r="5" spans="1:18" s="1" customFormat="1" x14ac:dyDescent="0.3">
      <c r="M5" s="74"/>
      <c r="N5" s="74"/>
    </row>
    <row r="6" spans="1:18" s="1" customFormat="1" x14ac:dyDescent="0.3">
      <c r="M6" s="74"/>
      <c r="N6" s="74"/>
      <c r="P6" s="5" t="s">
        <v>19</v>
      </c>
    </row>
    <row r="7" spans="1:18" s="1" customFormat="1" x14ac:dyDescent="0.3">
      <c r="M7" s="74"/>
      <c r="N7" s="74"/>
      <c r="P7" s="1" t="s">
        <v>20</v>
      </c>
    </row>
    <row r="8" spans="1:18" s="1" customFormat="1" ht="15.6" x14ac:dyDescent="0.3">
      <c r="M8" s="74"/>
      <c r="N8" s="74"/>
      <c r="P8" s="6" t="s">
        <v>23</v>
      </c>
      <c r="Q8" s="6">
        <f>'Girder Input'!$Q$30*SIN(D17/'Girder Input'!$Q$30)</f>
        <v>41.81076921169538</v>
      </c>
      <c r="R8" s="6">
        <f>'Girder Input'!$Q$30*COS(D17/'Girder Input'!$Q$30)</f>
        <v>2336.6259562835312</v>
      </c>
    </row>
    <row r="9" spans="1:18" s="1" customFormat="1" x14ac:dyDescent="0.3">
      <c r="M9" s="74"/>
      <c r="N9" s="74"/>
      <c r="R9" s="7"/>
    </row>
    <row r="10" spans="1:18" s="1" customFormat="1" ht="18" x14ac:dyDescent="0.35">
      <c r="M10" s="74"/>
      <c r="N10" s="74"/>
      <c r="P10" s="8" t="s">
        <v>49</v>
      </c>
      <c r="Q10" s="6">
        <f>'Girder Input'!$D$23*2*ASIN(D20/(2*'Girder Input'!$D$23))</f>
        <v>64.002000082454288</v>
      </c>
      <c r="R10" s="7"/>
    </row>
    <row r="11" spans="1:18" s="1" customFormat="1" ht="15.6" x14ac:dyDescent="0.3">
      <c r="P11" s="6" t="s">
        <v>24</v>
      </c>
      <c r="Q11" s="6">
        <f>'Girder Input'!$Q$30*SIN((D17+Q10)/'Girder Input'!$Q$30)</f>
        <v>105.77884839971853</v>
      </c>
      <c r="R11" s="9">
        <f>'Girder Input'!$Q$30*COS((D17+Q10)/'Girder Input'!$Q$30)</f>
        <v>2334.6048563367699</v>
      </c>
    </row>
    <row r="12" spans="1:18" s="1" customFormat="1" x14ac:dyDescent="0.3"/>
    <row r="13" spans="1:18" s="1" customFormat="1" x14ac:dyDescent="0.3">
      <c r="P13" s="1" t="s">
        <v>21</v>
      </c>
    </row>
    <row r="14" spans="1:18" s="1" customFormat="1" ht="15.6" x14ac:dyDescent="0.3">
      <c r="P14" s="6" t="s">
        <v>22</v>
      </c>
      <c r="Q14" s="6">
        <f>'C.G. &amp; Ideal Lift'!$D$16*SIN('C.G. &amp; Ideal Lift'!D13/'Girder Input'!$Q$30)</f>
        <v>73.791041968839721</v>
      </c>
      <c r="R14" s="6">
        <f>'C.G. &amp; Ideal Lift'!$D$16*COS('C.G. &amp; Ideal Lift'!D13/'Girder Input'!$Q$30)</f>
        <v>2335.5072811297746</v>
      </c>
    </row>
    <row r="15" spans="1:18" s="1" customFormat="1" ht="15" thickBot="1" x14ac:dyDescent="0.35">
      <c r="A15" s="61"/>
      <c r="B15" s="62"/>
      <c r="C15" s="62"/>
      <c r="D15" s="62"/>
      <c r="E15" s="62"/>
      <c r="F15" s="74"/>
      <c r="G15" s="74"/>
      <c r="H15" s="74"/>
      <c r="I15" s="74"/>
      <c r="J15" s="62"/>
      <c r="K15" s="62"/>
      <c r="L15" s="62"/>
    </row>
    <row r="16" spans="1:18" s="1" customFormat="1" x14ac:dyDescent="0.3">
      <c r="A16" s="61"/>
      <c r="B16" s="29" t="s">
        <v>14</v>
      </c>
      <c r="C16" s="57"/>
      <c r="D16" s="37"/>
      <c r="E16" s="31"/>
      <c r="F16" s="7"/>
      <c r="G16" s="7"/>
      <c r="H16" s="7"/>
      <c r="I16" s="7"/>
      <c r="J16" s="62"/>
      <c r="K16" s="62"/>
      <c r="L16" s="62"/>
      <c r="P16" s="1" t="s">
        <v>31</v>
      </c>
    </row>
    <row r="17" spans="1:18" s="1" customFormat="1" ht="16.2" thickBot="1" x14ac:dyDescent="0.4">
      <c r="A17" s="61"/>
      <c r="B17" s="39"/>
      <c r="C17" s="54" t="s">
        <v>137</v>
      </c>
      <c r="D17">
        <v>41.813000000000002</v>
      </c>
      <c r="E17" s="35" t="s">
        <v>4</v>
      </c>
      <c r="F17" s="7"/>
      <c r="G17" s="7"/>
      <c r="H17" s="7"/>
      <c r="I17" s="7"/>
      <c r="J17" s="62"/>
      <c r="K17" s="62"/>
      <c r="L17" s="62"/>
      <c r="P17" s="1" t="s">
        <v>82</v>
      </c>
      <c r="Q17" s="1">
        <f>'Girder Input'!Q31*(($Q$11-$Q$8)*($R$8-$R$14)-($Q$8-$Q$14)*($R$11-$R$8))/(($Q$11-$Q$8)^2+($R$11-$R$8)^2)^0.5</f>
        <v>0.10819020709844976</v>
      </c>
      <c r="R17" s="1" t="s">
        <v>4</v>
      </c>
    </row>
    <row r="18" spans="1:18" s="1" customFormat="1" ht="15" thickBot="1" x14ac:dyDescent="0.35">
      <c r="A18" s="61"/>
      <c r="B18" s="62"/>
      <c r="C18" s="62"/>
      <c r="D18" s="62"/>
      <c r="E18" s="62"/>
      <c r="F18" s="74"/>
      <c r="G18" s="74"/>
      <c r="H18" s="74"/>
      <c r="I18" s="74"/>
      <c r="J18" s="62"/>
      <c r="K18" s="62"/>
      <c r="L18" s="62"/>
      <c r="Q18" s="1">
        <f>Q17*12</f>
        <v>1.2982824851813972</v>
      </c>
      <c r="R18" s="1" t="s">
        <v>26</v>
      </c>
    </row>
    <row r="19" spans="1:18" s="1" customFormat="1" x14ac:dyDescent="0.3">
      <c r="A19" s="61"/>
      <c r="B19" s="29" t="s">
        <v>69</v>
      </c>
      <c r="C19" s="57"/>
      <c r="D19" s="37"/>
      <c r="E19" s="31"/>
      <c r="F19" s="7"/>
      <c r="G19" s="7"/>
      <c r="H19" s="7"/>
      <c r="I19" s="7"/>
      <c r="J19" s="62"/>
      <c r="K19" s="62"/>
      <c r="L19" s="62"/>
      <c r="P19" s="1" t="s">
        <v>33</v>
      </c>
    </row>
    <row r="20" spans="1:18" s="1" customFormat="1" ht="15" thickBot="1" x14ac:dyDescent="0.35">
      <c r="A20" s="61"/>
      <c r="B20" s="39"/>
      <c r="C20" s="128" t="s">
        <v>139</v>
      </c>
      <c r="D20">
        <v>64</v>
      </c>
      <c r="E20" s="35" t="s">
        <v>4</v>
      </c>
      <c r="F20" s="7"/>
      <c r="G20" s="7"/>
      <c r="H20" s="7"/>
      <c r="I20" s="7"/>
      <c r="J20" s="62"/>
      <c r="K20" s="62"/>
      <c r="L20" s="62"/>
      <c r="P20" s="6" t="s">
        <v>35</v>
      </c>
      <c r="Q20" s="6">
        <f>($R$11-$R$8)/($Q$11-$Q$8)</f>
        <v>-3.1595445297343094E-2</v>
      </c>
    </row>
    <row r="21" spans="1:18" s="1" customFormat="1" ht="15" thickBot="1" x14ac:dyDescent="0.35">
      <c r="P21" s="6" t="s">
        <v>36</v>
      </c>
      <c r="Q21" s="6">
        <f>-1/$Q$20</f>
        <v>31.650131548678992</v>
      </c>
    </row>
    <row r="22" spans="1:18" s="1" customFormat="1" x14ac:dyDescent="0.3">
      <c r="B22" s="29" t="s">
        <v>59</v>
      </c>
      <c r="C22" s="57"/>
      <c r="D22" s="37"/>
      <c r="E22" s="31"/>
      <c r="F22" s="7"/>
      <c r="H22" s="7"/>
      <c r="I22" s="7"/>
      <c r="P22" s="6" t="s">
        <v>34</v>
      </c>
      <c r="Q22" s="6">
        <f>($Q$20*$Q$8-$R$8-$Q$21*$Q$14+$R$14)/($Q$20-$Q$21)</f>
        <v>73.794458581680459</v>
      </c>
      <c r="R22" s="6">
        <f>$Q$21*$Q$22-$Q$21*$Q$14+$R$14</f>
        <v>2335.6154173756349</v>
      </c>
    </row>
    <row r="23" spans="1:18" s="1" customFormat="1" ht="15" thickBot="1" x14ac:dyDescent="0.35">
      <c r="B23" s="39"/>
      <c r="C23" s="58" t="s">
        <v>140</v>
      </c>
      <c r="D23">
        <v>30</v>
      </c>
      <c r="E23" s="35" t="s">
        <v>26</v>
      </c>
      <c r="F23" s="7"/>
      <c r="H23" s="7"/>
      <c r="I23" s="7"/>
    </row>
    <row r="24" spans="1:18" s="1" customFormat="1" ht="15" thickBot="1" x14ac:dyDescent="0.35">
      <c r="Q24" s="1">
        <v>2.08046963342401E-3</v>
      </c>
    </row>
    <row r="25" spans="1:18" s="1" customFormat="1" x14ac:dyDescent="0.3">
      <c r="B25" s="29" t="s">
        <v>25</v>
      </c>
      <c r="C25" s="57"/>
      <c r="D25" s="37"/>
      <c r="E25" s="31"/>
      <c r="F25" s="7"/>
      <c r="G25" s="7"/>
      <c r="H25" s="7"/>
      <c r="I25" s="7"/>
      <c r="Q25" s="1">
        <v>2.0804699513585758E-3</v>
      </c>
    </row>
    <row r="26" spans="1:18" s="1" customFormat="1" x14ac:dyDescent="0.3">
      <c r="B26" s="63"/>
      <c r="C26" s="129" t="s">
        <v>32</v>
      </c>
      <c r="D26" s="64">
        <f>Q17</f>
        <v>0.10819020709844976</v>
      </c>
      <c r="E26" s="65" t="s">
        <v>4</v>
      </c>
      <c r="F26" s="7"/>
      <c r="G26" s="7"/>
      <c r="H26" s="7"/>
      <c r="I26" s="7"/>
      <c r="Q26" s="1">
        <f>(Q25-Q24)/Q24*100</f>
        <v>1.528186524423959E-5</v>
      </c>
    </row>
    <row r="27" spans="1:18" s="1" customFormat="1" ht="15" thickBot="1" x14ac:dyDescent="0.35">
      <c r="B27" s="39"/>
      <c r="C27" s="43"/>
      <c r="D27" s="55">
        <f>D26*12</f>
        <v>1.2982824851813972</v>
      </c>
      <c r="E27" s="35" t="s">
        <v>26</v>
      </c>
      <c r="F27" s="7"/>
      <c r="G27" s="7"/>
      <c r="H27" s="7"/>
      <c r="I27" s="7"/>
    </row>
    <row r="28" spans="1:18" s="1" customFormat="1" ht="15" thickBot="1" x14ac:dyDescent="0.35">
      <c r="C28" s="66"/>
      <c r="D28" s="67"/>
    </row>
    <row r="29" spans="1:18" s="1" customFormat="1" x14ac:dyDescent="0.3">
      <c r="B29" s="29" t="s">
        <v>195</v>
      </c>
      <c r="C29" s="57"/>
      <c r="D29" s="37"/>
      <c r="E29" s="31"/>
      <c r="F29" s="7"/>
      <c r="G29" s="7"/>
      <c r="H29" s="7"/>
      <c r="I29" s="7"/>
    </row>
    <row r="30" spans="1:18" s="1" customFormat="1" ht="16.2" x14ac:dyDescent="0.35">
      <c r="B30" s="63"/>
      <c r="C30" s="130" t="s">
        <v>141</v>
      </c>
      <c r="D30" s="64">
        <f>ATAN(Q18/(D23+'Girder Input'!B27+'C.G. &amp; Ideal Lift'!D22))</f>
        <v>1.7776280571558951E-2</v>
      </c>
      <c r="E30" s="65" t="s">
        <v>30</v>
      </c>
      <c r="F30" s="7"/>
      <c r="G30" s="7"/>
      <c r="H30" s="7"/>
      <c r="I30" s="7"/>
    </row>
    <row r="31" spans="1:18" s="1" customFormat="1" ht="15" thickBot="1" x14ac:dyDescent="0.35">
      <c r="B31" s="39"/>
      <c r="C31" s="43"/>
      <c r="D31" s="40">
        <f>DEGREES(D30)</f>
        <v>1.0185058521907306</v>
      </c>
      <c r="E31" s="35" t="s">
        <v>29</v>
      </c>
      <c r="F31" s="7"/>
      <c r="G31" s="7"/>
      <c r="H31" s="7"/>
      <c r="I31" s="7"/>
    </row>
    <row r="32" spans="1:18" s="1" customFormat="1" ht="15" thickBot="1" x14ac:dyDescent="0.35">
      <c r="D32" s="67"/>
    </row>
    <row r="33" spans="2:11" s="1" customFormat="1" x14ac:dyDescent="0.3">
      <c r="B33" s="29" t="s">
        <v>27</v>
      </c>
      <c r="C33" s="57"/>
      <c r="D33" s="37"/>
      <c r="E33" s="31"/>
      <c r="F33" s="7"/>
      <c r="G33" s="7"/>
      <c r="H33" s="7"/>
      <c r="I33" s="7"/>
    </row>
    <row r="34" spans="2:11" s="1" customFormat="1" x14ac:dyDescent="0.3">
      <c r="B34" s="63"/>
      <c r="C34" s="68" t="s">
        <v>28</v>
      </c>
      <c r="D34" s="69">
        <f>'C.G. &amp; Ideal Lift'!$D$7*(Q10+D17-'C.G. &amp; Ideal Lift'!$D$13)/(Q10)</f>
        <v>31.564939187270546</v>
      </c>
      <c r="E34" s="65" t="s">
        <v>9</v>
      </c>
      <c r="F34" s="7"/>
      <c r="G34" s="7"/>
      <c r="H34" s="7"/>
      <c r="I34" s="7"/>
    </row>
    <row r="35" spans="2:11" s="1" customFormat="1" ht="15" thickBot="1" x14ac:dyDescent="0.35">
      <c r="B35" s="39"/>
      <c r="C35" s="54" t="s">
        <v>86</v>
      </c>
      <c r="D35" s="70">
        <f>'C.G. &amp; Ideal Lift'!$D$7*(('C.G. &amp; Ideal Lift'!$D$13-D17)/'Girder Input'!$Q$30)/(Q10/'Girder Input'!$Q$30)</f>
        <v>31.564247849838829</v>
      </c>
      <c r="E35" s="35" t="s">
        <v>9</v>
      </c>
      <c r="F35" s="7"/>
      <c r="G35" s="7"/>
      <c r="H35" s="7"/>
      <c r="I35" s="7"/>
      <c r="J35" s="71"/>
      <c r="K35" s="71"/>
    </row>
    <row r="36" spans="2:11" s="1" customFormat="1" x14ac:dyDescent="0.3">
      <c r="B36" s="145" t="str">
        <f>IF(ABS(D34-D35)&gt;0.2,"WARNING: Reactions Not Equal. Valid Only for 2 Cranes"," ")</f>
        <v xml:space="preserve"> </v>
      </c>
      <c r="D36" s="67"/>
    </row>
    <row r="37" spans="2:11" s="1" customFormat="1" x14ac:dyDescent="0.3"/>
    <row r="38" spans="2:11" s="1" customFormat="1" x14ac:dyDescent="0.3"/>
    <row r="39" spans="2:11" s="1" customFormat="1" x14ac:dyDescent="0.3"/>
    <row r="40" spans="2:11" s="1" customFormat="1" x14ac:dyDescent="0.3"/>
    <row r="41" spans="2:11" s="1" customFormat="1" x14ac:dyDescent="0.3"/>
    <row r="42" spans="2:11" s="1" customFormat="1" x14ac:dyDescent="0.3"/>
    <row r="43" spans="2:11" s="1" customFormat="1" x14ac:dyDescent="0.3"/>
    <row r="44" spans="2:11" s="1" customFormat="1" x14ac:dyDescent="0.3"/>
    <row r="45" spans="2:11" s="1" customFormat="1" x14ac:dyDescent="0.3"/>
    <row r="46" spans="2:11" s="1" customFormat="1" x14ac:dyDescent="0.3"/>
    <row r="47" spans="2:11" s="1" customFormat="1" x14ac:dyDescent="0.3"/>
    <row r="48" spans="2:11" s="1" customFormat="1" x14ac:dyDescent="0.3"/>
    <row r="49" spans="1:12" s="1" customFormat="1" x14ac:dyDescent="0.3"/>
    <row r="50" spans="1:12" s="1" customFormat="1" x14ac:dyDescent="0.3"/>
    <row r="51" spans="1:12" s="1" customFormat="1" x14ac:dyDescent="0.3">
      <c r="A51" s="171" t="s">
        <v>196</v>
      </c>
      <c r="B51" s="171"/>
      <c r="C51" s="171"/>
      <c r="D51" s="171"/>
      <c r="E51" s="171"/>
      <c r="F51" s="171"/>
      <c r="G51" s="171"/>
      <c r="H51" s="171"/>
      <c r="I51" s="171"/>
      <c r="J51" s="171"/>
      <c r="K51" s="171"/>
      <c r="L51" s="171"/>
    </row>
    <row r="52" spans="1:12" s="1" customFormat="1" x14ac:dyDescent="0.3"/>
    <row r="53" spans="1:12" s="1" customFormat="1" x14ac:dyDescent="0.3"/>
    <row r="54" spans="1:12" s="1" customFormat="1" x14ac:dyDescent="0.3"/>
    <row r="55" spans="1:12" s="1" customFormat="1" x14ac:dyDescent="0.3"/>
    <row r="56" spans="1:12" s="1" customFormat="1" x14ac:dyDescent="0.3"/>
    <row r="57" spans="1:12" s="1" customFormat="1" x14ac:dyDescent="0.3"/>
    <row r="58" spans="1:12" s="1" customFormat="1" x14ac:dyDescent="0.3"/>
    <row r="59" spans="1:12" s="1" customFormat="1" x14ac:dyDescent="0.3"/>
    <row r="60" spans="1:12" s="1" customFormat="1" x14ac:dyDescent="0.3"/>
    <row r="61" spans="1:12" s="1" customFormat="1" x14ac:dyDescent="0.3"/>
    <row r="62" spans="1:12" s="1" customFormat="1" x14ac:dyDescent="0.3"/>
    <row r="63" spans="1:12" s="1" customFormat="1" x14ac:dyDescent="0.3"/>
    <row r="64" spans="1:12" s="1" customFormat="1" x14ac:dyDescent="0.3">
      <c r="I64" s="98" t="s">
        <v>101</v>
      </c>
    </row>
    <row r="65" spans="2:17" s="1" customFormat="1" x14ac:dyDescent="0.3">
      <c r="H65" s="131"/>
    </row>
    <row r="66" spans="2:17" s="1" customFormat="1" ht="15" thickBot="1" x14ac:dyDescent="0.35"/>
    <row r="67" spans="2:17" s="1" customFormat="1" ht="31.5" customHeight="1" x14ac:dyDescent="0.3">
      <c r="B67" s="171" t="s">
        <v>100</v>
      </c>
      <c r="C67" s="171"/>
      <c r="D67" s="171"/>
      <c r="F67" s="29"/>
      <c r="G67" s="30"/>
      <c r="H67" s="132" t="s">
        <v>142</v>
      </c>
      <c r="I67" s="30"/>
      <c r="J67" s="30"/>
      <c r="K67" s="31"/>
    </row>
    <row r="68" spans="2:17" s="1" customFormat="1" ht="16.2" thickBot="1" x14ac:dyDescent="0.4">
      <c r="B68" s="39" t="s">
        <v>143</v>
      </c>
      <c r="C68" s="99">
        <v>1.1161300788611017</v>
      </c>
      <c r="D68" s="35" t="s">
        <v>29</v>
      </c>
      <c r="F68" s="63"/>
      <c r="G68" s="16" t="s">
        <v>182</v>
      </c>
      <c r="H68">
        <v>1.4</v>
      </c>
      <c r="I68" s="171" t="str">
        <f>IF(H68 &gt;= 1," ","L.F. Must Be Postive")</f>
        <v xml:space="preserve"> </v>
      </c>
      <c r="J68" s="171"/>
      <c r="K68" s="171"/>
    </row>
    <row r="69" spans="2:17" s="1" customFormat="1" ht="15" thickBot="1" x14ac:dyDescent="0.35">
      <c r="F69" s="63"/>
      <c r="G69" s="16" t="s">
        <v>181</v>
      </c>
      <c r="H69">
        <v>0.9</v>
      </c>
      <c r="I69" s="171" t="str">
        <f>IF(H69 &lt;= 1," ","R.F. Must Be Negative")</f>
        <v xml:space="preserve"> </v>
      </c>
      <c r="J69" s="171"/>
      <c r="K69" s="171"/>
      <c r="Q69" s="1" t="s">
        <v>185</v>
      </c>
    </row>
    <row r="70" spans="2:17" s="1" customFormat="1" ht="15.6" x14ac:dyDescent="0.35">
      <c r="B70" s="45" t="s">
        <v>96</v>
      </c>
      <c r="C70" s="46"/>
      <c r="D70" s="48"/>
      <c r="F70" s="94"/>
      <c r="G70" t="s">
        <v>162</v>
      </c>
      <c r="H70">
        <f>H68*Q70</f>
        <v>445.51315689691438</v>
      </c>
      <c r="I70" s="26" t="s">
        <v>149</v>
      </c>
      <c r="J70" s="26"/>
      <c r="K70"/>
      <c r="P70" s="1" t="s">
        <v>183</v>
      </c>
      <c r="Q70" s="104">
        <v>318.223683497796</v>
      </c>
    </row>
    <row r="71" spans="2:17" s="1" customFormat="1" ht="18" x14ac:dyDescent="0.35">
      <c r="B71" s="52" t="s">
        <v>144</v>
      </c>
      <c r="C71" s="100">
        <v>1.6604973673011973</v>
      </c>
      <c r="D71" s="53" t="s">
        <v>102</v>
      </c>
      <c r="F71" s="63"/>
      <c r="G71" s="16" t="s">
        <v>161</v>
      </c>
      <c r="H71" s="101">
        <f>H69*Q71</f>
        <v>5892.2697943166713</v>
      </c>
      <c r="I71" s="93" t="s">
        <v>149</v>
      </c>
      <c r="J71" s="93"/>
      <c r="K71" s="65"/>
      <c r="P71" s="1" t="s">
        <v>184</v>
      </c>
      <c r="Q71" s="104">
        <v>6546.9664381296343</v>
      </c>
    </row>
    <row r="72" spans="2:17" s="1" customFormat="1" ht="16.2" thickBot="1" x14ac:dyDescent="0.4">
      <c r="B72" s="63" t="s">
        <v>145</v>
      </c>
      <c r="C72" s="101">
        <v>0.93502743757779838</v>
      </c>
      <c r="D72" s="65" t="s">
        <v>78</v>
      </c>
      <c r="F72" s="49"/>
      <c r="G72" s="133" t="s">
        <v>163</v>
      </c>
      <c r="H72" s="116" t="str">
        <f>IF(H70&lt;=H71,"OK"," ")</f>
        <v>OK</v>
      </c>
      <c r="I72" s="171" t="str">
        <f>IF(H70&lt;=H71," ","N.G. CHECK DESIGN")</f>
        <v xml:space="preserve"> </v>
      </c>
      <c r="J72" s="171"/>
      <c r="K72" s="171"/>
    </row>
    <row r="73" spans="2:17" s="1" customFormat="1" ht="18" x14ac:dyDescent="0.35">
      <c r="B73" s="52" t="s">
        <v>146</v>
      </c>
      <c r="C73" s="100">
        <v>-0.91644332197825362</v>
      </c>
      <c r="D73" s="53" t="s">
        <v>78</v>
      </c>
    </row>
    <row r="74" spans="2:17" s="1" customFormat="1" ht="16.2" thickBot="1" x14ac:dyDescent="0.4">
      <c r="B74" s="39" t="s">
        <v>147</v>
      </c>
      <c r="C74" s="102">
        <v>-1.0609972934339458</v>
      </c>
      <c r="D74" s="35" t="s">
        <v>78</v>
      </c>
    </row>
    <row r="75" spans="2:17" s="1" customFormat="1" ht="15" thickBot="1" x14ac:dyDescent="0.35"/>
    <row r="76" spans="2:17" s="1" customFormat="1" ht="31.5" customHeight="1" thickBot="1" x14ac:dyDescent="0.35">
      <c r="B76" s="171" t="s">
        <v>97</v>
      </c>
      <c r="C76" s="171"/>
      <c r="D76" s="171"/>
      <c r="E76" s="7"/>
      <c r="F76" s="7"/>
    </row>
    <row r="77" spans="2:17" s="1" customFormat="1" ht="15.6" x14ac:dyDescent="0.35">
      <c r="B77" s="94" t="s">
        <v>143</v>
      </c>
      <c r="C77" s="103">
        <v>1.0265261872241751</v>
      </c>
      <c r="D77" s="26" t="s">
        <v>29</v>
      </c>
      <c r="E77" s="52"/>
      <c r="G77" s="7"/>
    </row>
    <row r="78" spans="2:17" s="1" customFormat="1" x14ac:dyDescent="0.3">
      <c r="B78" s="52"/>
      <c r="C78" s="11"/>
      <c r="D78" s="7"/>
      <c r="E78" s="52"/>
    </row>
    <row r="79" spans="2:17" s="1" customFormat="1" ht="15.6" x14ac:dyDescent="0.35">
      <c r="B79" s="63" t="s">
        <v>148</v>
      </c>
      <c r="C79" s="101">
        <v>0.1519791394301227</v>
      </c>
      <c r="D79" s="93" t="s">
        <v>78</v>
      </c>
      <c r="E79" s="52"/>
    </row>
    <row r="80" spans="2:17" s="1" customFormat="1" ht="15.6" x14ac:dyDescent="0.35">
      <c r="B80" s="63" t="s">
        <v>145</v>
      </c>
      <c r="C80" s="101">
        <v>0.18748204856512246</v>
      </c>
      <c r="D80" s="93" t="s">
        <v>78</v>
      </c>
      <c r="E80" s="52"/>
    </row>
    <row r="81" spans="2:9" s="1" customFormat="1" ht="15.6" x14ac:dyDescent="0.35">
      <c r="B81" s="52" t="s">
        <v>146</v>
      </c>
      <c r="C81" s="100">
        <v>-5.251038847258456E-2</v>
      </c>
      <c r="D81" s="7" t="s">
        <v>78</v>
      </c>
      <c r="E81" s="52"/>
    </row>
    <row r="82" spans="2:9" s="1" customFormat="1" ht="16.2" thickBot="1" x14ac:dyDescent="0.4">
      <c r="B82" s="39" t="s">
        <v>147</v>
      </c>
      <c r="C82" s="102">
        <v>-0.19538408699311532</v>
      </c>
      <c r="D82" s="43" t="s">
        <v>78</v>
      </c>
      <c r="E82" s="52"/>
      <c r="F82" s="7"/>
    </row>
    <row r="83" spans="2:9" s="1" customFormat="1" ht="15" thickBot="1" x14ac:dyDescent="0.35">
      <c r="B83" s="98"/>
      <c r="E83" s="7"/>
    </row>
    <row r="84" spans="2:9" s="1" customFormat="1" ht="17.25" customHeight="1" x14ac:dyDescent="0.3">
      <c r="B84" s="45" t="s">
        <v>98</v>
      </c>
      <c r="C84" s="46"/>
      <c r="D84" s="48"/>
    </row>
    <row r="85" spans="2:9" s="1" customFormat="1" ht="18" x14ac:dyDescent="0.35">
      <c r="B85" s="63" t="s">
        <v>148</v>
      </c>
      <c r="C85" s="100">
        <v>1.2482277635154533</v>
      </c>
      <c r="D85" s="53" t="s">
        <v>78</v>
      </c>
    </row>
    <row r="86" spans="2:9" s="1" customFormat="1" ht="15.6" x14ac:dyDescent="0.35">
      <c r="B86" s="63" t="s">
        <v>145</v>
      </c>
      <c r="C86" s="101">
        <v>0.70012313516631719</v>
      </c>
      <c r="D86" s="65" t="s">
        <v>78</v>
      </c>
    </row>
    <row r="87" spans="2:9" s="1" customFormat="1" ht="18" x14ac:dyDescent="0.35">
      <c r="B87" s="52" t="s">
        <v>146</v>
      </c>
      <c r="C87" s="100">
        <v>-0.67726358595296998</v>
      </c>
      <c r="D87" s="53" t="s">
        <v>78</v>
      </c>
    </row>
    <row r="88" spans="2:9" s="1" customFormat="1" ht="16.2" thickBot="1" x14ac:dyDescent="0.4">
      <c r="B88" s="39" t="s">
        <v>147</v>
      </c>
      <c r="C88" s="102">
        <v>-0.74553654888485299</v>
      </c>
      <c r="D88" s="35" t="s">
        <v>78</v>
      </c>
    </row>
    <row r="89" spans="2:9" s="1" customFormat="1" ht="15" thickBot="1" x14ac:dyDescent="0.35"/>
    <row r="90" spans="2:9" s="1" customFormat="1" ht="17.25" customHeight="1" x14ac:dyDescent="0.35">
      <c r="B90" s="29" t="s">
        <v>99</v>
      </c>
      <c r="C90" s="30"/>
      <c r="D90" s="31"/>
      <c r="I90" s="150"/>
    </row>
    <row r="91" spans="2:9" s="1" customFormat="1" ht="16.2" thickBot="1" x14ac:dyDescent="0.4">
      <c r="B91" s="39" t="s">
        <v>143</v>
      </c>
      <c r="C91" s="99">
        <v>0.98424969043147814</v>
      </c>
      <c r="D91" s="35" t="s">
        <v>29</v>
      </c>
      <c r="G91" s="2"/>
    </row>
    <row r="92" spans="2:9" s="1" customFormat="1" ht="18" x14ac:dyDescent="0.35">
      <c r="B92" s="98" t="s">
        <v>101</v>
      </c>
      <c r="G92" s="7"/>
      <c r="I92" s="150"/>
    </row>
    <row r="96" spans="2:9" ht="15" hidden="1" customHeight="1" x14ac:dyDescent="0.3"/>
    <row r="97" ht="15" hidden="1" customHeight="1" x14ac:dyDescent="0.3"/>
    <row r="98" ht="15" hidden="1" customHeight="1" x14ac:dyDescent="0.3"/>
    <row r="108" ht="20.25" customHeight="1" x14ac:dyDescent="0.3"/>
    <row r="111" ht="20.25" customHeight="1" x14ac:dyDescent="0.3"/>
    <row r="114" ht="19.5" customHeight="1" x14ac:dyDescent="0.3"/>
    <row r="120" ht="21" customHeight="1" x14ac:dyDescent="0.3"/>
    <row r="214" ht="31.5" customHeight="1" x14ac:dyDescent="0.3"/>
    <row r="223" ht="31.5" customHeight="1" x14ac:dyDescent="0.3"/>
    <row r="231" ht="17.25" customHeight="1" x14ac:dyDescent="0.3"/>
    <row r="237" ht="17.25" customHeight="1" x14ac:dyDescent="0.3"/>
  </sheetData>
  <mergeCells count="7">
    <mergeCell ref="A51:L51"/>
    <mergeCell ref="B76:D76"/>
    <mergeCell ref="A2:L2"/>
    <mergeCell ref="B67:D67"/>
    <mergeCell ref="I72:K72"/>
    <mergeCell ref="I68:K68"/>
    <mergeCell ref="I69:K69"/>
  </mergeCells>
  <pageMargins left="0.7" right="0.7" top="0.75" bottom="0.75" header="0.3" footer="0.3"/>
  <pageSetup scale="91" firstPageNumber="4" orientation="portrait" useFirstPageNumber="1" r:id="rId1"/>
  <headerFooter>
    <oddHeader>&amp;R&amp;D</oddHeader>
    <oddFooter>&amp;CPage &amp;P</oddFooter>
  </headerFooter>
  <colBreaks count="1" manualBreakCount="1">
    <brk id="12" max="1048575" man="1"/>
  </colBreaks>
  <drawing r:id="rId2"/>
  <legacyDrawing r:id="rId3"/>
  <controls>
    <mc:AlternateContent xmlns:mc="http://schemas.openxmlformats.org/markup-compatibility/2006">
      <mc:Choice Requires="x14">
        <control shapeId="1717260" r:id="rId4" name="CalculateRotationStress">
          <controlPr defaultSize="0" autoLine="0" autoPict="0" r:id="rId5">
            <anchor moveWithCells="1">
              <from>
                <xdr:col>1</xdr:col>
                <xdr:colOff>30480</xdr:colOff>
                <xdr:row>35</xdr:row>
                <xdr:rowOff>175260</xdr:rowOff>
              </from>
              <to>
                <xdr:col>4</xdr:col>
                <xdr:colOff>259080</xdr:colOff>
                <xdr:row>39</xdr:row>
                <xdr:rowOff>0</xdr:rowOff>
              </to>
            </anchor>
          </controlPr>
        </control>
      </mc:Choice>
      <mc:Fallback>
        <control shapeId="1717260" r:id="rId4" name="CalculateRotationStres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AF812"/>
  <sheetViews>
    <sheetView view="pageBreakPreview" topLeftCell="R7" zoomScale="80" zoomScaleNormal="59" zoomScaleSheetLayoutView="80" workbookViewId="0">
      <selection activeCell="R24" sqref="R24"/>
    </sheetView>
  </sheetViews>
  <sheetFormatPr defaultColWidth="9.33203125" defaultRowHeight="14.4" x14ac:dyDescent="0.3"/>
  <cols>
    <col min="1" max="1" width="8" style="104" hidden="1" customWidth="1"/>
    <col min="2" max="9" width="9.33203125" style="105" hidden="1" customWidth="1"/>
    <col min="10" max="10" width="4.33203125" style="105" hidden="1" customWidth="1"/>
    <col min="11" max="11" width="7.44140625" style="105" hidden="1" customWidth="1"/>
    <col min="12" max="12" width="7.88671875" style="105" hidden="1" customWidth="1"/>
    <col min="13" max="13" width="9.33203125" style="105" hidden="1" customWidth="1"/>
    <col min="14" max="17" width="9.33203125" style="104" hidden="1" customWidth="1"/>
    <col min="18" max="18" width="8.88671875" style="88" customWidth="1"/>
    <col min="19" max="19" width="13.109375" bestFit="1" customWidth="1"/>
    <col min="20" max="20" width="14" bestFit="1" customWidth="1"/>
    <col min="21" max="21" width="13.6640625" bestFit="1" customWidth="1"/>
    <col min="22" max="22" width="14.44140625" customWidth="1"/>
    <col min="23" max="23" width="11.44140625" bestFit="1" customWidth="1"/>
    <col min="24" max="24" width="13.33203125" customWidth="1"/>
    <col min="25" max="25" width="10" customWidth="1"/>
    <col min="26" max="26" width="11.109375" customWidth="1"/>
    <col min="27" max="27" width="12.6640625" customWidth="1"/>
    <col min="29" max="29" width="9.88671875" bestFit="1" customWidth="1"/>
  </cols>
  <sheetData>
    <row r="1" spans="1:27" x14ac:dyDescent="0.3">
      <c r="R1" s="96"/>
      <c r="S1" s="96"/>
      <c r="T1" s="96"/>
      <c r="U1" s="96"/>
      <c r="V1" s="96"/>
      <c r="W1" s="96"/>
      <c r="X1" s="96"/>
      <c r="Y1" s="96"/>
      <c r="Z1" s="96"/>
      <c r="AA1" s="96"/>
    </row>
    <row r="2" spans="1:27" x14ac:dyDescent="0.3">
      <c r="R2" s="96"/>
      <c r="S2" s="96"/>
      <c r="T2" s="96"/>
      <c r="U2" s="96"/>
      <c r="V2" s="96"/>
      <c r="W2" s="96"/>
      <c r="X2" s="96"/>
      <c r="Y2" s="96"/>
      <c r="Z2" s="96"/>
      <c r="AA2" s="85"/>
    </row>
    <row r="3" spans="1:27" x14ac:dyDescent="0.3">
      <c r="R3" s="96"/>
      <c r="S3" s="96"/>
      <c r="T3" s="96"/>
      <c r="U3" s="96"/>
      <c r="V3" s="96"/>
      <c r="W3" s="96"/>
      <c r="X3" s="96"/>
      <c r="Y3" s="96"/>
      <c r="Z3" s="96"/>
      <c r="AA3" s="85"/>
    </row>
    <row r="4" spans="1:27" ht="15" thickBot="1" x14ac:dyDescent="0.35">
      <c r="P4" s="104">
        <v>800</v>
      </c>
      <c r="R4" s="96"/>
      <c r="S4" s="96"/>
      <c r="T4" s="96"/>
      <c r="U4" s="96"/>
      <c r="V4" s="96"/>
      <c r="W4" s="96"/>
      <c r="X4" s="96"/>
      <c r="Y4" s="96"/>
      <c r="Z4" s="96"/>
      <c r="AA4" s="96"/>
    </row>
    <row r="5" spans="1:27" ht="30.6" thickBot="1" x14ac:dyDescent="0.55000000000000004">
      <c r="B5" s="109" t="s">
        <v>93</v>
      </c>
      <c r="C5" s="106" t="s">
        <v>87</v>
      </c>
      <c r="D5" s="107" t="s">
        <v>91</v>
      </c>
      <c r="E5" s="107" t="s">
        <v>88</v>
      </c>
      <c r="F5" s="107" t="s">
        <v>92</v>
      </c>
      <c r="G5" s="107" t="s">
        <v>89</v>
      </c>
      <c r="H5" s="108" t="s">
        <v>90</v>
      </c>
      <c r="I5" s="146" t="s">
        <v>158</v>
      </c>
      <c r="K5" s="109" t="s">
        <v>95</v>
      </c>
      <c r="L5" s="110" t="s">
        <v>94</v>
      </c>
      <c r="O5" s="144" t="s">
        <v>157</v>
      </c>
      <c r="P5" s="144" t="s">
        <v>157</v>
      </c>
      <c r="Q5" s="147" t="s">
        <v>156</v>
      </c>
      <c r="R5" s="85"/>
      <c r="S5" s="97"/>
      <c r="T5" s="97"/>
      <c r="U5" s="97"/>
      <c r="V5" s="97"/>
      <c r="W5" s="97"/>
      <c r="X5" s="97"/>
      <c r="Y5" s="90"/>
      <c r="Z5" s="90"/>
      <c r="AA5" s="96"/>
    </row>
    <row r="6" spans="1:27" x14ac:dyDescent="0.3">
      <c r="A6" s="104">
        <f>B6/12</f>
        <v>0</v>
      </c>
      <c r="B6" s="105">
        <v>0</v>
      </c>
      <c r="C6" s="105">
        <v>-9.173815464769923E-2</v>
      </c>
      <c r="D6" s="105">
        <v>2.1275383073950894E-4</v>
      </c>
      <c r="E6" s="105">
        <v>-0.14920103695835216</v>
      </c>
      <c r="F6" s="105">
        <v>-3.4470442133076611E-4</v>
      </c>
      <c r="G6" s="105">
        <v>1.4146761209372677E-3</v>
      </c>
      <c r="H6" s="105">
        <v>-2.3748665305262652E-6</v>
      </c>
      <c r="I6" s="105">
        <v>1.1161300788611017</v>
      </c>
      <c r="K6" s="104">
        <f>C6+SIN('Calculated Behavior'!$D$30)*('Calculated Behavior'!$D$23+'C.G. &amp; Ideal Lift'!$D$22)-'C.G. &amp; Ideal Lift'!$D$22*SIN(Graphs!G6)</f>
        <v>1.1250193403828248</v>
      </c>
      <c r="L6" s="104">
        <f>C6+SIN('Calculated Behavior'!$D$30)*('Calculated Behavior'!$D$23+'Girder Input'!$B$29)+('Girder Input'!$B$29-'C.G. &amp; Ideal Lift'!$D$22)*SIN(Graphs!G6)</f>
        <v>1.3611125093171272</v>
      </c>
      <c r="N6" s="104">
        <v>0</v>
      </c>
      <c r="O6" s="104">
        <f>P6/12</f>
        <v>0</v>
      </c>
      <c r="P6" s="104">
        <v>0</v>
      </c>
      <c r="Q6" s="104">
        <v>0</v>
      </c>
      <c r="R6" s="96"/>
      <c r="S6" s="96"/>
      <c r="T6" s="96"/>
      <c r="U6" s="96"/>
      <c r="V6" s="96"/>
      <c r="W6" s="96"/>
      <c r="X6" s="96"/>
      <c r="Y6" s="96"/>
      <c r="Z6" s="96"/>
      <c r="AA6" s="96"/>
    </row>
    <row r="7" spans="1:27" x14ac:dyDescent="0.3">
      <c r="A7" s="104">
        <f t="shared" ref="A7:A46" si="0">B7/12</f>
        <v>4.1813000000000002</v>
      </c>
      <c r="B7" s="105">
        <v>50.175600000000003</v>
      </c>
      <c r="C7" s="105">
        <v>-8.1064611245474635E-2</v>
      </c>
      <c r="D7" s="105">
        <v>2.1263363626819931E-4</v>
      </c>
      <c r="E7" s="105">
        <v>-0.13191039010718658</v>
      </c>
      <c r="F7" s="105">
        <v>-3.4429750547857379E-4</v>
      </c>
      <c r="G7" s="105">
        <v>1.2951695039284247E-3</v>
      </c>
      <c r="H7" s="105">
        <v>-2.3955594521305912E-6</v>
      </c>
      <c r="I7" s="105">
        <v>1.1092828540826087</v>
      </c>
      <c r="K7" s="104">
        <f>C7+SIN('Calculated Behavior'!$D$30)*('Calculated Behavior'!$D$23+'C.G. &amp; Ideal Lift'!$D$22)-'C.G. &amp; Ideal Lift'!$D$22*SIN(Graphs!G7)</f>
        <v>1.1406854889209255</v>
      </c>
      <c r="L7" s="104">
        <f>C7+SIN('Calculated Behavior'!$D$30)*('Calculated Behavior'!$D$23+'Girder Input'!$B$29)+('Girder Input'!$B$29-'C.G. &amp; Ideal Lift'!$D$22)*SIN(Graphs!G7)</f>
        <v>1.3706838259859024</v>
      </c>
      <c r="N7" s="104">
        <v>0</v>
      </c>
      <c r="O7" s="104">
        <f>P7/12</f>
        <v>0.19572697508833226</v>
      </c>
      <c r="P7" s="104">
        <v>2.3487237010599871</v>
      </c>
      <c r="Q7" s="104">
        <v>2.0662911804509542E-6</v>
      </c>
      <c r="R7" s="96"/>
      <c r="S7" s="96"/>
      <c r="T7" s="96"/>
      <c r="U7" s="96"/>
      <c r="V7" s="96"/>
      <c r="W7" s="96"/>
      <c r="X7" s="96"/>
      <c r="Y7" s="96"/>
      <c r="Z7" s="96"/>
      <c r="AA7" s="96"/>
    </row>
    <row r="8" spans="1:27" x14ac:dyDescent="0.3">
      <c r="A8" s="104">
        <f t="shared" si="0"/>
        <v>8.3626000000000005</v>
      </c>
      <c r="B8" s="105">
        <v>100.35120000000001</v>
      </c>
      <c r="C8" s="105">
        <v>-7.0412292340839053E-2</v>
      </c>
      <c r="D8" s="105">
        <v>2.1178294108485922E-4</v>
      </c>
      <c r="E8" s="105">
        <v>-0.11467179069594027</v>
      </c>
      <c r="F8" s="105">
        <v>-3.4242641009892135E-4</v>
      </c>
      <c r="G8" s="105">
        <v>1.1740434560814712E-3</v>
      </c>
      <c r="H8" s="105">
        <v>-2.4370016025381147E-6</v>
      </c>
      <c r="I8" s="105">
        <v>1.1023428427518787</v>
      </c>
      <c r="K8" s="104">
        <f>C8+SIN('Calculated Behavior'!$D$30)*('Calculated Behavior'!$D$23+'C.G. &amp; Ideal Lift'!$D$22)-'C.G. &amp; Ideal Lift'!$D$22*SIN(Graphs!G8)</f>
        <v>1.1563980684027719</v>
      </c>
      <c r="L8" s="104">
        <f>C8+SIN('Calculated Behavior'!$D$30)*('Calculated Behavior'!$D$23+'Girder Input'!$B$29)+('Girder Input'!$B$29-'C.G. &amp; Ideal Lift'!$D$22)*SIN(Graphs!G8)</f>
        <v>1.3802189817393122</v>
      </c>
      <c r="N8" s="104">
        <v>0</v>
      </c>
      <c r="O8" s="104">
        <f t="shared" ref="O8:O70" si="1">P8/12</f>
        <v>0.19593604008833229</v>
      </c>
      <c r="P8" s="104">
        <v>2.3512324810599874</v>
      </c>
      <c r="Q8" s="104">
        <v>2.0729197502177988E-6</v>
      </c>
      <c r="R8" s="96"/>
      <c r="S8" s="96"/>
      <c r="T8" s="96"/>
      <c r="U8" s="96"/>
      <c r="V8" s="96"/>
      <c r="W8" s="96"/>
      <c r="X8" s="96"/>
      <c r="Y8" s="96"/>
      <c r="Z8" s="96"/>
      <c r="AA8" s="96"/>
    </row>
    <row r="9" spans="1:27" x14ac:dyDescent="0.3">
      <c r="A9" s="104">
        <f t="shared" si="0"/>
        <v>12.543900000000001</v>
      </c>
      <c r="B9" s="105">
        <v>150.52680000000001</v>
      </c>
      <c r="C9" s="105">
        <v>-5.9837117636492007E-2</v>
      </c>
      <c r="D9" s="105">
        <v>2.0942440545100433E-4</v>
      </c>
      <c r="E9" s="105">
        <v>-9.7568531340115949E-2</v>
      </c>
      <c r="F9" s="105">
        <v>-3.3882180446479838E-4</v>
      </c>
      <c r="G9" s="105">
        <v>1.0506452964251795E-3</v>
      </c>
      <c r="H9" s="105">
        <v>-2.484104982293276E-6</v>
      </c>
      <c r="I9" s="105">
        <v>1.0952726490038915</v>
      </c>
      <c r="K9" s="104">
        <f>C9+SIN('Calculated Behavior'!$D$30)*('Calculated Behavior'!$D$23+'C.G. &amp; Ideal Lift'!$D$22)-'C.G. &amp; Ideal Lift'!$D$22*SIN(Graphs!G9)</f>
        <v>1.1721284260201383</v>
      </c>
      <c r="L9" s="104">
        <f>C9+SIN('Calculated Behavior'!$D$30)*('Calculated Behavior'!$D$23+'Girder Input'!$B$29)+('Girder Input'!$B$29-'C.G. &amp; Ideal Lift'!$D$22)*SIN(Graphs!G9)</f>
        <v>1.3896560371115856</v>
      </c>
      <c r="N9" s="104">
        <v>0</v>
      </c>
      <c r="O9" s="104">
        <f t="shared" si="1"/>
        <v>0.19635417008833225</v>
      </c>
      <c r="P9" s="104">
        <v>2.3562500410599871</v>
      </c>
      <c r="Q9" s="104">
        <v>2.0862187674336148E-6</v>
      </c>
      <c r="R9" s="96"/>
      <c r="S9" s="96"/>
      <c r="T9" s="96"/>
      <c r="U9" s="96"/>
      <c r="V9" s="96"/>
      <c r="W9" s="96"/>
      <c r="X9" s="96"/>
      <c r="Y9" s="96"/>
      <c r="Z9" s="96"/>
      <c r="AA9" s="96"/>
    </row>
    <row r="10" spans="1:27" x14ac:dyDescent="0.3">
      <c r="A10" s="104">
        <f t="shared" si="0"/>
        <v>16.725200000000001</v>
      </c>
      <c r="B10" s="105">
        <v>200.70240000000001</v>
      </c>
      <c r="C10" s="105">
        <v>-4.9435311384566076E-2</v>
      </c>
      <c r="D10" s="105">
        <v>2.0473349471718672E-4</v>
      </c>
      <c r="E10" s="105">
        <v>-8.0730235078936285E-2</v>
      </c>
      <c r="F10" s="105">
        <v>-3.3165257495748509E-4</v>
      </c>
      <c r="G10" s="105">
        <v>9.2460010405533361E-4</v>
      </c>
      <c r="H10" s="105">
        <v>-2.5405234689907669E-6</v>
      </c>
      <c r="I10" s="105">
        <v>1.088050791453185</v>
      </c>
      <c r="K10" s="104">
        <f>C10+SIN('Calculated Behavior'!$D$30)*('Calculated Behavior'!$D$23+'C.G. &amp; Ideal Lift'!$D$22)-'C.G. &amp; Ideal Lift'!$D$22*SIN(Graphs!G10)</f>
        <v>1.1877960004882071</v>
      </c>
      <c r="L10" s="104">
        <f>C10+SIN('Calculated Behavior'!$D$30)*('Calculated Behavior'!$D$23+'Girder Input'!$B$29)+('Girder Input'!$B$29-'C.G. &amp; Ideal Lift'!$D$22)*SIN(Graphs!G10)</f>
        <v>1.3988953099081272</v>
      </c>
      <c r="N10" s="104">
        <v>0</v>
      </c>
      <c r="O10" s="104">
        <f t="shared" si="1"/>
        <v>0.19656323508833229</v>
      </c>
      <c r="P10" s="104">
        <v>2.3587588210599875</v>
      </c>
      <c r="Q10" s="104">
        <v>2.0928894740486019E-6</v>
      </c>
      <c r="R10" s="96"/>
      <c r="S10" s="96"/>
      <c r="T10" s="96"/>
      <c r="U10" s="96"/>
      <c r="V10" s="96"/>
      <c r="W10" s="96"/>
      <c r="X10" s="96"/>
      <c r="Y10" s="96"/>
      <c r="Z10" s="96"/>
      <c r="AA10" s="96"/>
    </row>
    <row r="11" spans="1:27" x14ac:dyDescent="0.3">
      <c r="A11" s="104">
        <f t="shared" si="0"/>
        <v>20.906500000000001</v>
      </c>
      <c r="B11" s="105">
        <v>250.87800000000001</v>
      </c>
      <c r="C11" s="105">
        <v>-3.9344821794097692E-2</v>
      </c>
      <c r="D11" s="105">
        <v>1.9687634186554365E-4</v>
      </c>
      <c r="E11" s="105">
        <v>-6.4367731413712367E-2</v>
      </c>
      <c r="F11" s="105">
        <v>-3.1964430294723962E-4</v>
      </c>
      <c r="G11" s="105">
        <v>7.9581722550218549E-4</v>
      </c>
      <c r="H11" s="105">
        <v>-2.5895944808896587E-6</v>
      </c>
      <c r="I11" s="105">
        <v>1.0806720760385438</v>
      </c>
      <c r="K11" s="104">
        <f>C11+SIN('Calculated Behavior'!$D$30)*('Calculated Behavior'!$D$23+'C.G. &amp; Ideal Lift'!$D$22)-'C.G. &amp; Ideal Lift'!$D$22*SIN(Graphs!G11)</f>
        <v>1.2032666307705129</v>
      </c>
      <c r="L11" s="104">
        <f>C11+SIN('Calculated Behavior'!$D$30)*('Calculated Behavior'!$D$23+'Girder Input'!$B$29)+('Girder Input'!$B$29-'C.G. &amp; Ideal Lift'!$D$22)*SIN(Graphs!G11)</f>
        <v>1.4077980158187591</v>
      </c>
      <c r="N11" s="104">
        <v>0</v>
      </c>
      <c r="O11" s="104">
        <f t="shared" si="1"/>
        <v>0.96448100682755367</v>
      </c>
      <c r="P11" s="104">
        <v>11.573772081930644</v>
      </c>
      <c r="Q11" s="104">
        <v>2.4724099635875486E-4</v>
      </c>
      <c r="R11" s="96"/>
      <c r="S11" s="96"/>
      <c r="T11" s="96"/>
      <c r="U11" s="96"/>
      <c r="V11" s="96"/>
      <c r="W11" s="96"/>
      <c r="X11" s="96"/>
      <c r="Y11" s="96"/>
      <c r="Z11" s="96"/>
      <c r="AA11" s="96"/>
    </row>
    <row r="12" spans="1:27" x14ac:dyDescent="0.3">
      <c r="A12" s="104">
        <f t="shared" si="0"/>
        <v>25.087800000000001</v>
      </c>
      <c r="B12" s="105">
        <v>301.05360000000002</v>
      </c>
      <c r="C12" s="105">
        <v>-2.9745436852064749E-2</v>
      </c>
      <c r="D12" s="105">
        <v>1.8501907987821057E-4</v>
      </c>
      <c r="E12" s="105">
        <v>-4.8755794565153464E-2</v>
      </c>
      <c r="F12" s="105">
        <v>-3.0152256980432002E-4</v>
      </c>
      <c r="G12" s="105">
        <v>6.6531615647908164E-4</v>
      </c>
      <c r="H12" s="105">
        <v>-2.6032014136945309E-6</v>
      </c>
      <c r="I12" s="105">
        <v>1.0731949155615743</v>
      </c>
      <c r="K12" s="104">
        <f>C12+SIN('Calculated Behavior'!$D$30)*('Calculated Behavior'!$D$23+'C.G. &amp; Ideal Lift'!$D$22)-'C.G. &amp; Ideal Lift'!$D$22*SIN(Graphs!G12)</f>
        <v>1.2183179375212019</v>
      </c>
      <c r="L12" s="104">
        <f>C12+SIN('Calculated Behavior'!$D$30)*('Calculated Behavior'!$D$23+'Girder Input'!$B$29)+('Girder Input'!$B$29-'C.G. &amp; Ideal Lift'!$D$22)*SIN(Graphs!G12)</f>
        <v>1.4161937698301195</v>
      </c>
      <c r="N12" s="104">
        <v>0</v>
      </c>
      <c r="O12" s="104">
        <f t="shared" si="1"/>
        <v>0.96469007182755373</v>
      </c>
      <c r="P12" s="104">
        <v>11.576280861930645</v>
      </c>
      <c r="Q12" s="104">
        <v>2.4740181080878005E-4</v>
      </c>
      <c r="R12" s="96"/>
      <c r="S12" s="96"/>
      <c r="T12" s="96"/>
      <c r="U12" s="96"/>
      <c r="V12" s="96"/>
      <c r="W12" s="96"/>
      <c r="X12" s="96"/>
      <c r="Y12" s="96"/>
      <c r="Z12" s="96"/>
      <c r="AA12" s="96"/>
    </row>
    <row r="13" spans="1:27" x14ac:dyDescent="0.3">
      <c r="A13" s="104">
        <f t="shared" si="0"/>
        <v>29.269099999999998</v>
      </c>
      <c r="B13" s="105">
        <v>351.22919999999999</v>
      </c>
      <c r="C13" s="105">
        <v>-2.0858784323386781E-2</v>
      </c>
      <c r="D13" s="105">
        <v>1.6832784173732474E-4</v>
      </c>
      <c r="E13" s="105">
        <v>-3.4233143473367464E-2</v>
      </c>
      <c r="F13" s="105">
        <v>-2.7601295689898422E-4</v>
      </c>
      <c r="G13" s="105">
        <v>5.3588174529077721E-4</v>
      </c>
      <c r="H13" s="105">
        <v>-2.5385460145215993E-6</v>
      </c>
      <c r="I13" s="105">
        <v>1.0657788700767237</v>
      </c>
      <c r="K13" s="104">
        <f>C13+SIN('Calculated Behavior'!$D$30)*('Calculated Behavior'!$D$23+'C.G. &amp; Ideal Lift'!$D$22)-'C.G. &amp; Ideal Lift'!$D$22*SIN(Graphs!G13)</f>
        <v>1.232611950736515</v>
      </c>
      <c r="L13" s="104">
        <f>C13+SIN('Calculated Behavior'!$D$30)*('Calculated Behavior'!$D$23+'Girder Input'!$B$29)+('Girder Input'!$B$29-'C.G. &amp; Ideal Lift'!$D$22)*SIN(Graphs!G13)</f>
        <v>1.4238866292700183</v>
      </c>
      <c r="N13" s="104">
        <v>0</v>
      </c>
      <c r="O13" s="104">
        <f t="shared" si="1"/>
        <v>0.96510820182755364</v>
      </c>
      <c r="P13" s="104">
        <v>11.581298421930644</v>
      </c>
      <c r="Q13" s="104">
        <v>2.4772364583393731E-4</v>
      </c>
      <c r="R13" s="96"/>
      <c r="S13" s="96"/>
      <c r="T13" s="96"/>
      <c r="U13" s="96"/>
      <c r="V13" s="96"/>
      <c r="W13" s="96"/>
      <c r="X13" s="96"/>
      <c r="Y13" s="96"/>
      <c r="Z13" s="96"/>
      <c r="AA13" s="96"/>
    </row>
    <row r="14" spans="1:27" x14ac:dyDescent="0.3">
      <c r="A14" s="104">
        <f t="shared" si="0"/>
        <v>33.450400000000002</v>
      </c>
      <c r="B14" s="105">
        <v>401.40480000000002</v>
      </c>
      <c r="C14" s="105">
        <v>-1.282503220046962E-2</v>
      </c>
      <c r="D14" s="105">
        <v>1.5110836108212129E-4</v>
      </c>
      <c r="E14" s="105">
        <v>-2.1057137250542392E-2</v>
      </c>
      <c r="F14" s="105">
        <v>-2.4789397862614952E-4</v>
      </c>
      <c r="G14" s="105">
        <v>4.1183500261551874E-4</v>
      </c>
      <c r="H14" s="105">
        <v>-2.386140062195572E-6</v>
      </c>
      <c r="I14" s="105">
        <v>1.058671515259086</v>
      </c>
      <c r="K14" s="104">
        <f>C14+SIN('Calculated Behavior'!$D$30)*('Calculated Behavior'!$D$23+'C.G. &amp; Ideal Lift'!$D$22)-'C.G. &amp; Ideal Lift'!$D$22*SIN(Graphs!G14)</f>
        <v>1.2458279841337772</v>
      </c>
      <c r="L14" s="104">
        <f>C14+SIN('Calculated Behavior'!$D$30)*('Calculated Behavior'!$D$23+'Girder Input'!$B$29)+('Girder Input'!$B$29-'C.G. &amp; Ideal Lift'!$D$22)*SIN(Graphs!G14)</f>
        <v>1.4307762795051671</v>
      </c>
      <c r="N14" s="104">
        <v>0</v>
      </c>
      <c r="O14" s="104">
        <f t="shared" si="1"/>
        <v>0.9653172668275537</v>
      </c>
      <c r="P14" s="104">
        <v>11.583807201930645</v>
      </c>
      <c r="Q14" s="104">
        <v>2.4788466869963459E-4</v>
      </c>
      <c r="R14" s="96"/>
      <c r="S14" s="96"/>
      <c r="T14" s="96"/>
      <c r="U14" s="96"/>
      <c r="V14" s="96"/>
      <c r="W14" s="96"/>
      <c r="X14" s="96"/>
      <c r="Y14" s="96"/>
      <c r="Z14" s="96"/>
      <c r="AA14" s="96"/>
    </row>
    <row r="15" spans="1:27" x14ac:dyDescent="0.3">
      <c r="A15" s="104">
        <f t="shared" si="0"/>
        <v>37.631700000000002</v>
      </c>
      <c r="B15" s="105">
        <v>451.58040000000005</v>
      </c>
      <c r="C15" s="105">
        <v>-5.780354741831072E-3</v>
      </c>
      <c r="D15" s="105">
        <v>1.2877828186496083E-4</v>
      </c>
      <c r="E15" s="105">
        <v>-9.4962650466783212E-3</v>
      </c>
      <c r="F15" s="105">
        <v>-2.1142952160153029E-4</v>
      </c>
      <c r="G15" s="105">
        <v>2.9904480227561085E-4</v>
      </c>
      <c r="H15" s="105">
        <v>-2.0766514313437574E-6</v>
      </c>
      <c r="I15" s="105">
        <v>1.0522091128091744</v>
      </c>
      <c r="K15" s="104">
        <f>C15+SIN('Calculated Behavior'!$D$30)*('Calculated Behavior'!$D$23+'C.G. &amp; Ideal Lift'!$D$22)-'C.G. &amp; Ideal Lift'!$D$22*SIN(Graphs!G15)</f>
        <v>1.2575846802985173</v>
      </c>
      <c r="L15" s="104">
        <f>C15+SIN('Calculated Behavior'!$D$30)*('Calculated Behavior'!$D$23+'Girder Input'!$B$29)+('Girder Input'!$B$29-'C.G. &amp; Ideal Lift'!$D$22)*SIN(Graphs!G15)</f>
        <v>1.4367806758189867</v>
      </c>
      <c r="N15" s="104">
        <v>0</v>
      </c>
      <c r="O15" s="104">
        <f t="shared" si="1"/>
        <v>2.0902318700000002</v>
      </c>
      <c r="P15" s="104">
        <v>25.082782440000003</v>
      </c>
      <c r="Q15" s="104">
        <v>2.516650028434059E-3</v>
      </c>
      <c r="R15" s="96"/>
      <c r="S15" s="96"/>
      <c r="T15" s="96"/>
      <c r="U15" s="96"/>
      <c r="V15" s="96"/>
      <c r="W15" s="96"/>
      <c r="X15" s="96"/>
      <c r="Y15" s="96"/>
      <c r="Z15" s="96"/>
      <c r="AA15" s="96"/>
    </row>
    <row r="16" spans="1:27" x14ac:dyDescent="0.3">
      <c r="A16" s="104">
        <f t="shared" si="0"/>
        <v>41.813000000000002</v>
      </c>
      <c r="B16" s="105">
        <v>501.75600000000003</v>
      </c>
      <c r="D16" s="105">
        <v>1.0058741063231209E-4</v>
      </c>
      <c r="F16" s="105">
        <v>-1.65394538807586E-4</v>
      </c>
      <c r="G16" s="105">
        <v>2.0757275722541112E-4</v>
      </c>
      <c r="H16" s="105">
        <v>-1.5192366962394013E-6</v>
      </c>
      <c r="I16" s="105">
        <v>1.0469681506843671</v>
      </c>
      <c r="K16" s="104">
        <f>C16+SIN('Calculated Behavior'!$D$30)*('Calculated Behavior'!$D$23+'C.G. &amp; Ideal Lift'!$D$22)-'C.G. &amp; Ideal Lift'!$D$22*SIN(Graphs!G16)</f>
        <v>1.2671864485987945</v>
      </c>
      <c r="L16" s="104">
        <f>C16+SIN('Calculated Behavior'!$D$30)*('Calculated Behavior'!$D$23+'Girder Input'!$B$29)+('Girder Input'!$B$29-'C.G. &amp; Ideal Lift'!$D$22)*SIN(Graphs!G16)</f>
        <v>1.4417173699729982</v>
      </c>
      <c r="N16" s="104">
        <v>0</v>
      </c>
      <c r="O16" s="104">
        <f t="shared" si="1"/>
        <v>2.0904409350000002</v>
      </c>
      <c r="P16" s="104">
        <v>25.085291220000002</v>
      </c>
      <c r="Q16" s="104">
        <v>2.5174052539704882E-3</v>
      </c>
      <c r="R16" s="96"/>
      <c r="S16" s="96"/>
      <c r="T16" s="96"/>
      <c r="U16" s="96"/>
      <c r="V16" s="96"/>
      <c r="W16" s="96"/>
      <c r="X16" s="96"/>
      <c r="Y16" s="96"/>
      <c r="Z16" s="96"/>
      <c r="AA16" s="96"/>
    </row>
    <row r="17" spans="1:32" x14ac:dyDescent="0.3">
      <c r="A17" s="104">
        <f t="shared" si="0"/>
        <v>45.01310000412272</v>
      </c>
      <c r="B17" s="105">
        <v>540.15720004947264</v>
      </c>
      <c r="C17" s="105">
        <v>3.4251646698445471E-3</v>
      </c>
      <c r="D17" s="105">
        <v>7.8398600637904692E-5</v>
      </c>
      <c r="E17" s="105">
        <v>5.6369017003308182E-3</v>
      </c>
      <c r="F17" s="105">
        <v>-1.2916077086615174E-4</v>
      </c>
      <c r="G17" s="105">
        <v>1.583729098037002E-4</v>
      </c>
      <c r="H17" s="105">
        <v>-1.0775896753437105E-6</v>
      </c>
      <c r="I17" s="105">
        <v>1.0441492070744156</v>
      </c>
      <c r="K17" s="104">
        <f>C17+SIN('Calculated Behavior'!$D$30)*('Calculated Behavior'!$D$23+'C.G. &amp; Ideal Lift'!$D$22)-'C.G. &amp; Ideal Lift'!$D$22*SIN(Graphs!G17)</f>
        <v>1.272667027759907</v>
      </c>
      <c r="L17" s="104">
        <f>C17+SIN('Calculated Behavior'!$D$30)*('Calculated Behavior'!$D$23+'Girder Input'!$B$29)+('Girder Input'!$B$29-'C.G. &amp; Ideal Lift'!$D$22)*SIN(Graphs!G17)</f>
        <v>1.444688756957859</v>
      </c>
      <c r="N17" s="104">
        <v>0</v>
      </c>
      <c r="O17" s="104">
        <f t="shared" si="1"/>
        <v>2.0908590650000001</v>
      </c>
      <c r="P17" s="104">
        <v>25.090308780000001</v>
      </c>
      <c r="Q17" s="104">
        <v>2.5189161492426186E-3</v>
      </c>
      <c r="R17" s="96"/>
      <c r="S17" s="96"/>
      <c r="T17" s="96"/>
      <c r="U17" s="96"/>
      <c r="V17" s="96"/>
      <c r="W17" s="96"/>
      <c r="X17" s="96"/>
      <c r="Y17" s="96"/>
      <c r="Z17" s="96"/>
      <c r="AA17" s="96"/>
    </row>
    <row r="18" spans="1:32" x14ac:dyDescent="0.3">
      <c r="A18" s="104">
        <f t="shared" si="0"/>
        <v>48.21320000824543</v>
      </c>
      <c r="B18" s="105">
        <v>578.55840009894519</v>
      </c>
      <c r="C18" s="105">
        <v>6.0649448612306173E-3</v>
      </c>
      <c r="D18" s="105">
        <v>5.9627196957713394E-5</v>
      </c>
      <c r="E18" s="105">
        <v>9.9912903256277486E-3</v>
      </c>
      <c r="F18" s="105">
        <v>-9.8507541375496377E-5</v>
      </c>
      <c r="G18" s="105">
        <v>1.2249274725941462E-4</v>
      </c>
      <c r="H18" s="105">
        <v>-8.1738000945836956E-7</v>
      </c>
      <c r="I18" s="105">
        <v>1.0420934251923846</v>
      </c>
      <c r="K18" s="104">
        <f>C18+SIN('Calculated Behavior'!$D$30)*('Calculated Behavior'!$D$23+'C.G. &amp; Ideal Lift'!$D$22)-'C.G. &amp; Ideal Lift'!$D$22*SIN(Graphs!G18)</f>
        <v>1.2768057680175966</v>
      </c>
      <c r="L18" s="104">
        <f>C18+SIN('Calculated Behavior'!$D$30)*('Calculated Behavior'!$D$23+'Girder Input'!$B$29)+('Girder Input'!$B$29-'C.G. &amp; Ideal Lift'!$D$22)*SIN(Graphs!G18)</f>
        <v>1.4469976089439323</v>
      </c>
      <c r="N18" s="104">
        <v>0</v>
      </c>
      <c r="O18" s="104">
        <f t="shared" si="1"/>
        <v>2.09106813</v>
      </c>
      <c r="P18" s="104">
        <v>25.09281756</v>
      </c>
      <c r="Q18" s="104">
        <v>2.5196718239059437E-3</v>
      </c>
      <c r="R18" s="96"/>
      <c r="S18" s="96"/>
      <c r="T18" s="96"/>
      <c r="U18" s="96"/>
      <c r="V18" s="96"/>
      <c r="W18" s="96"/>
      <c r="X18" s="96"/>
      <c r="Y18" s="96"/>
      <c r="Z18" s="96"/>
      <c r="AA18" s="96"/>
    </row>
    <row r="19" spans="1:32" x14ac:dyDescent="0.3">
      <c r="A19" s="104">
        <f t="shared" si="0"/>
        <v>51.413300012368147</v>
      </c>
      <c r="B19" s="105">
        <v>616.95960014841773</v>
      </c>
      <c r="C19" s="105">
        <v>8.0441158702693749E-3</v>
      </c>
      <c r="D19" s="105">
        <v>4.3936897215610442E-5</v>
      </c>
      <c r="E19" s="105">
        <v>1.3266920792231567E-2</v>
      </c>
      <c r="F19" s="105">
        <v>-7.2885677024486119E-5</v>
      </c>
      <c r="G19" s="105">
        <v>9.3846416521753864E-5</v>
      </c>
      <c r="H19" s="105">
        <v>-6.9413368098097272E-7</v>
      </c>
      <c r="I19" s="105">
        <v>1.0404521113425806</v>
      </c>
      <c r="K19" s="104">
        <f>C19+SIN('Calculated Behavior'!$D$30)*('Calculated Behavior'!$D$23+'C.G. &amp; Ideal Lift'!$D$22)-'C.G. &amp; Ideal Lift'!$D$22*SIN(Graphs!G19)</f>
        <v>1.2799816924120724</v>
      </c>
      <c r="L19" s="104">
        <f>C19+SIN('Calculated Behavior'!$D$30)*('Calculated Behavior'!$D$23+'Girder Input'!$B$29)+('Girder Input'!$B$29-'C.G. &amp; Ideal Lift'!$D$22)*SIN(Graphs!G19)</f>
        <v>1.4487125704793844</v>
      </c>
      <c r="N19" s="104">
        <v>0</v>
      </c>
      <c r="O19" s="104">
        <f t="shared" si="1"/>
        <v>3.2159827331724471</v>
      </c>
      <c r="P19" s="104">
        <v>38.591792798069363</v>
      </c>
      <c r="Q19" s="104">
        <v>9.1660143384153271E-3</v>
      </c>
      <c r="R19" s="96"/>
      <c r="S19" s="96"/>
      <c r="T19" s="96"/>
      <c r="U19" s="96"/>
      <c r="V19" s="96"/>
      <c r="W19" s="96"/>
      <c r="X19" s="96"/>
      <c r="Y19" s="96"/>
      <c r="Z19" s="96"/>
      <c r="AA19" s="96"/>
    </row>
    <row r="20" spans="1:32" x14ac:dyDescent="0.3">
      <c r="A20" s="104">
        <f t="shared" si="0"/>
        <v>54.613400016490857</v>
      </c>
      <c r="B20" s="105">
        <v>655.36080019789028</v>
      </c>
      <c r="C20" s="105">
        <v>9.4745385782491493E-3</v>
      </c>
      <c r="D20" s="105">
        <v>3.0991399035468278E-5</v>
      </c>
      <c r="E20" s="105">
        <v>1.5646459102300416E-2</v>
      </c>
      <c r="F20" s="105">
        <v>-5.1746004501987476E-5</v>
      </c>
      <c r="G20" s="105">
        <v>6.7897410686777924E-5</v>
      </c>
      <c r="H20" s="105">
        <v>-6.7144516489349469E-7</v>
      </c>
      <c r="I20" s="105">
        <v>1.0389653428256762</v>
      </c>
      <c r="K20" s="104">
        <f>C20+SIN('Calculated Behavior'!$D$30)*('Calculated Behavior'!$D$23+'C.G. &amp; Ideal Lift'!$D$22)-'C.G. &amp; Ideal Lift'!$D$22*SIN(Graphs!G20)</f>
        <v>1.2824961827776675</v>
      </c>
      <c r="L20" s="104">
        <f>C20+SIN('Calculated Behavior'!$D$30)*('Calculated Behavior'!$D$23+'Girder Input'!$B$29)+('Girder Input'!$B$29-'C.G. &amp; Ideal Lift'!$D$22)*SIN(Graphs!G20)</f>
        <v>1.4499036615517606</v>
      </c>
      <c r="N20" s="104">
        <v>0</v>
      </c>
      <c r="O20" s="104">
        <f t="shared" si="1"/>
        <v>3.216191798172447</v>
      </c>
      <c r="P20" s="104">
        <v>38.594301578069363</v>
      </c>
      <c r="Q20" s="104">
        <v>9.1678020457915642E-3</v>
      </c>
      <c r="R20" s="96"/>
      <c r="S20" s="96"/>
      <c r="T20" s="96"/>
      <c r="U20" s="96"/>
      <c r="V20" s="96"/>
      <c r="W20" s="96"/>
      <c r="X20" s="96"/>
      <c r="Y20" s="96"/>
      <c r="Z20" s="96"/>
      <c r="AA20" s="96"/>
    </row>
    <row r="21" spans="1:32" x14ac:dyDescent="0.3">
      <c r="A21" s="104">
        <f t="shared" si="0"/>
        <v>57.813500020613581</v>
      </c>
      <c r="B21" s="105">
        <v>693.76200024736295</v>
      </c>
      <c r="C21" s="105">
        <v>1.0455159451635531E-2</v>
      </c>
      <c r="D21" s="105">
        <v>2.0454400041159603E-5</v>
      </c>
      <c r="E21" s="105">
        <v>1.7291482343809714E-2</v>
      </c>
      <c r="F21" s="105">
        <v>-3.4539350496866491E-5</v>
      </c>
      <c r="G21" s="105">
        <v>4.1369792050064671E-5</v>
      </c>
      <c r="H21" s="105">
        <v>-7.1989245176678867E-7</v>
      </c>
      <c r="I21" s="105">
        <v>1.03744542223726</v>
      </c>
      <c r="K21" s="104">
        <f>C21+SIN('Calculated Behavior'!$D$30)*('Calculated Behavior'!$D$23+'C.G. &amp; Ideal Lift'!$D$22)-'C.G. &amp; Ideal Lift'!$D$22*SIN(Graphs!G21)</f>
        <v>1.2845850439293749</v>
      </c>
      <c r="L21" s="104">
        <f>C21+SIN('Calculated Behavior'!$D$30)*('Calculated Behavior'!$D$23+'Girder Input'!$B$29)+('Girder Input'!$B$29-'C.G. &amp; Ideal Lift'!$D$22)*SIN(Graphs!G21)</f>
        <v>1.4506396141550544</v>
      </c>
      <c r="N21" s="104">
        <v>0</v>
      </c>
      <c r="O21" s="104">
        <f t="shared" si="1"/>
        <v>3.216609928172447</v>
      </c>
      <c r="P21" s="104">
        <v>38.599319138069362</v>
      </c>
      <c r="Q21" s="104">
        <v>9.1713781627826129E-3</v>
      </c>
      <c r="R21" s="96"/>
      <c r="S21" s="96"/>
      <c r="T21" s="96"/>
      <c r="U21" s="96"/>
      <c r="V21" s="96"/>
      <c r="W21" s="96"/>
      <c r="X21" s="96"/>
      <c r="Y21" s="96"/>
      <c r="Z21" s="96"/>
      <c r="AA21" s="96"/>
    </row>
    <row r="22" spans="1:32" x14ac:dyDescent="0.3">
      <c r="A22" s="104">
        <f t="shared" si="0"/>
        <v>61.013600024736284</v>
      </c>
      <c r="B22" s="105">
        <v>732.16320029683538</v>
      </c>
      <c r="C22" s="105">
        <v>1.1072010542071298E-2</v>
      </c>
      <c r="D22" s="105">
        <v>1.1989597856556789E-5</v>
      </c>
      <c r="E22" s="105">
        <v>1.834247869055227E-2</v>
      </c>
      <c r="F22" s="105">
        <v>-2.0716541697989429E-5</v>
      </c>
      <c r="G22" s="105">
        <v>1.1999761585984665E-5</v>
      </c>
      <c r="H22" s="105">
        <v>-8.1601902799179436E-7</v>
      </c>
      <c r="I22" s="105">
        <v>1.0357626434474976</v>
      </c>
      <c r="K22" s="104">
        <f>C22+SIN('Calculated Behavior'!$D$30)*('Calculated Behavior'!$D$23+'C.G. &amp; Ideal Lift'!$D$22)-'C.G. &amp; Ideal Lift'!$D$22*SIN(Graphs!G22)</f>
        <v>1.2864288823049614</v>
      </c>
      <c r="L22" s="104">
        <f>C22+SIN('Calculated Behavior'!$D$30)*('Calculated Behavior'!$D$23+'Girder Input'!$B$29)+('Girder Input'!$B$29-'C.G. &amp; Ideal Lift'!$D$22)*SIN(Graphs!G22)</f>
        <v>1.45098558097756</v>
      </c>
      <c r="N22" s="104">
        <v>0</v>
      </c>
      <c r="O22" s="104">
        <f t="shared" si="1"/>
        <v>3.2168189931724469</v>
      </c>
      <c r="P22" s="104">
        <v>38.601827918069361</v>
      </c>
      <c r="Q22" s="104">
        <v>9.1731665686598969E-3</v>
      </c>
      <c r="R22" s="96"/>
      <c r="S22" s="96"/>
      <c r="T22" s="96"/>
      <c r="U22" s="96"/>
      <c r="V22" s="96"/>
      <c r="W22" s="96"/>
      <c r="X22" s="96"/>
      <c r="Y22" s="96"/>
      <c r="Z22" s="96"/>
      <c r="AA22" s="96"/>
    </row>
    <row r="23" spans="1:32" x14ac:dyDescent="0.3">
      <c r="A23" s="104">
        <f t="shared" si="0"/>
        <v>64.213700028859009</v>
      </c>
      <c r="B23" s="105">
        <v>770.56440034630805</v>
      </c>
      <c r="C23" s="105">
        <v>1.1423303424653199E-2</v>
      </c>
      <c r="D23" s="105">
        <v>6.5153502498879249E-6</v>
      </c>
      <c r="E23" s="105">
        <v>1.895438158885247E-2</v>
      </c>
      <c r="F23" s="105">
        <v>-1.1504148945906012E-5</v>
      </c>
      <c r="G23" s="105">
        <v>-2.1271223383636577E-5</v>
      </c>
      <c r="H23" s="105">
        <v>-9.2061594020519514E-7</v>
      </c>
      <c r="I23" s="105">
        <v>1.033856356428495</v>
      </c>
      <c r="K23" s="104">
        <f>C23+SIN('Calculated Behavior'!$D$30)*('Calculated Behavior'!$D$23+'C.G. &amp; Ideal Lift'!$D$22)-'C.G. &amp; Ideal Lift'!$D$22*SIN(Graphs!G23)</f>
        <v>1.2881701320548262</v>
      </c>
      <c r="L23" s="104">
        <f>C23+SIN('Calculated Behavior'!$D$30)*('Calculated Behavior'!$D$23+'Girder Input'!$B$29)+('Girder Input'!$B$29-'C.G. &amp; Ideal Lift'!$D$22)*SIN(Graphs!G23)</f>
        <v>1.4510300104940705</v>
      </c>
      <c r="N23" s="104">
        <v>0</v>
      </c>
      <c r="O23" s="104">
        <f t="shared" si="1"/>
        <v>3.9847367649116681</v>
      </c>
      <c r="P23" s="104">
        <v>47.816841178940017</v>
      </c>
      <c r="Q23" s="104">
        <v>0.13442357821833045</v>
      </c>
      <c r="R23" s="96"/>
      <c r="S23" s="96"/>
      <c r="T23" s="96"/>
      <c r="U23" s="96"/>
      <c r="V23" s="96"/>
      <c r="W23" s="96"/>
      <c r="X23" s="96"/>
      <c r="Y23" s="96"/>
      <c r="Z23" s="96"/>
      <c r="AA23" s="96"/>
    </row>
    <row r="24" spans="1:32" x14ac:dyDescent="0.3">
      <c r="A24" s="104">
        <f t="shared" si="0"/>
        <v>67.413800032981712</v>
      </c>
      <c r="B24" s="105">
        <v>808.9656003957806</v>
      </c>
      <c r="C24" s="105">
        <v>1.1586455647588704E-2</v>
      </c>
      <c r="D24" s="105">
        <v>2.1387690304126489E-6</v>
      </c>
      <c r="E24" s="105">
        <v>1.9249670082063023E-2</v>
      </c>
      <c r="F24" s="105">
        <v>-4.1389751353373197E-6</v>
      </c>
      <c r="G24" s="105">
        <v>-5.8933781516029225E-5</v>
      </c>
      <c r="H24" s="105">
        <v>-1.0431158637080502E-6</v>
      </c>
      <c r="I24" s="105">
        <v>1.031698450801843</v>
      </c>
      <c r="K24" s="104">
        <f>C24+SIN('Calculated Behavior'!$D$30)*('Calculated Behavior'!$D$23+'C.G. &amp; Ideal Lift'!$D$22)-'C.G. &amp; Ideal Lift'!$D$22*SIN(Graphs!G24)</f>
        <v>1.2899067072263501</v>
      </c>
      <c r="L24" s="104">
        <f>C24+SIN('Calculated Behavior'!$D$30)*('Calculated Behavior'!$D$23+'Girder Input'!$B$29)+('Girder Input'!$B$29-'C.G. &amp; Ideal Lift'!$D$22)*SIN(Graphs!G24)</f>
        <v>1.4508457952025005</v>
      </c>
      <c r="N24" s="104">
        <v>0</v>
      </c>
      <c r="O24" s="104">
        <f t="shared" si="1"/>
        <v>3.984945829911668</v>
      </c>
      <c r="P24" s="104">
        <v>47.819349958940016</v>
      </c>
      <c r="Q24" s="104">
        <v>0.13442632576199992</v>
      </c>
      <c r="R24" s="96"/>
      <c r="S24" s="96"/>
      <c r="T24" s="96"/>
      <c r="U24" s="96"/>
      <c r="V24" s="96"/>
      <c r="W24" s="96"/>
      <c r="X24" s="96"/>
      <c r="Y24" s="96"/>
      <c r="Z24" s="96"/>
      <c r="AA24" s="96"/>
    </row>
    <row r="25" spans="1:32" x14ac:dyDescent="0.3">
      <c r="A25" s="104">
        <f t="shared" si="0"/>
        <v>70.613900037104429</v>
      </c>
      <c r="B25" s="105">
        <v>847.36680044525315</v>
      </c>
      <c r="C25" s="105">
        <v>1.15976119300608E-2</v>
      </c>
      <c r="D25" s="105">
        <v>-1.4529999486888325E-6</v>
      </c>
      <c r="E25" s="105">
        <v>1.9289170675112561E-2</v>
      </c>
      <c r="F25" s="105">
        <v>1.9054694875062271E-6</v>
      </c>
      <c r="G25" s="105">
        <v>-1.0150382747790078E-4</v>
      </c>
      <c r="H25" s="105">
        <v>-1.1749588143805385E-6</v>
      </c>
      <c r="I25" s="105">
        <v>1.0292593668345498</v>
      </c>
      <c r="K25" s="104">
        <f>C25+SIN('Calculated Behavior'!$D$30)*('Calculated Behavior'!$D$23+'C.G. &amp; Ideal Lift'!$D$22)-'C.G. &amp; Ideal Lift'!$D$22*SIN(Graphs!G25)</f>
        <v>1.291696305823884</v>
      </c>
      <c r="L25" s="104">
        <f>C25+SIN('Calculated Behavior'!$D$30)*('Calculated Behavior'!$D$23+'Girder Input'!$B$29)+('Girder Input'!$B$29-'C.G. &amp; Ideal Lift'!$D$22)*SIN(Graphs!G25)</f>
        <v>1.4504643214631283</v>
      </c>
      <c r="N25" s="104">
        <v>0</v>
      </c>
      <c r="O25" s="104">
        <f t="shared" si="1"/>
        <v>3.9853639599116679</v>
      </c>
      <c r="P25" s="104">
        <v>47.824367518940015</v>
      </c>
      <c r="Q25" s="104">
        <v>0.1344318217126873</v>
      </c>
      <c r="R25" s="96"/>
      <c r="S25" s="96"/>
      <c r="T25" s="96"/>
      <c r="U25" s="96"/>
      <c r="V25" s="96"/>
      <c r="W25" s="96"/>
      <c r="X25" s="96"/>
      <c r="Y25" s="96"/>
      <c r="Z25" s="96"/>
      <c r="AA25" s="96"/>
    </row>
    <row r="26" spans="1:32" x14ac:dyDescent="0.3">
      <c r="A26" s="104">
        <f t="shared" si="0"/>
        <v>73.814000041227146</v>
      </c>
      <c r="B26" s="105">
        <v>885.76800049472581</v>
      </c>
      <c r="C26" s="105">
        <v>1.1480903016574248E-2</v>
      </c>
      <c r="D26" s="105">
        <v>-4.5728108342366743E-6</v>
      </c>
      <c r="E26" s="105">
        <v>1.9113492034570453E-2</v>
      </c>
      <c r="F26" s="105">
        <v>7.1556746764143973E-6</v>
      </c>
      <c r="G26" s="105">
        <v>-1.4920681072731244E-4</v>
      </c>
      <c r="H26" s="105">
        <v>-1.3094447970896395E-6</v>
      </c>
      <c r="I26" s="105">
        <v>1.0265261872241751</v>
      </c>
      <c r="K26" s="104">
        <f>C26+SIN('Calculated Behavior'!$D$30)*('Calculated Behavior'!$D$23+'C.G. &amp; Ideal Lift'!$D$22)-'C.G. &amp; Ideal Lift'!$D$22*SIN(Graphs!G26)</f>
        <v>1.2935724771540833</v>
      </c>
      <c r="L26" s="104">
        <f>C26+SIN('Calculated Behavior'!$D$30)*('Calculated Behavior'!$D$23+'Girder Input'!$B$29)+('Girder Input'!$B$29-'C.G. &amp; Ideal Lift'!$D$22)*SIN(Graphs!G26)</f>
        <v>1.4499076406669533</v>
      </c>
      <c r="N26" s="104">
        <v>0</v>
      </c>
      <c r="O26" s="104">
        <f t="shared" si="1"/>
        <v>3.9855730249116679</v>
      </c>
      <c r="P26" s="104">
        <v>47.826876298940014</v>
      </c>
      <c r="Q26" s="104">
        <v>0.13443457012614796</v>
      </c>
      <c r="R26" s="96"/>
      <c r="S26" s="96"/>
      <c r="T26" s="96"/>
      <c r="U26" s="96"/>
      <c r="V26" s="96"/>
      <c r="W26" s="96"/>
      <c r="X26" s="96"/>
      <c r="Y26" s="96"/>
      <c r="Z26" s="96"/>
      <c r="AA26" s="96"/>
      <c r="AE26" s="87"/>
      <c r="AF26" s="87"/>
    </row>
    <row r="27" spans="1:32" x14ac:dyDescent="0.3">
      <c r="A27" s="104">
        <f t="shared" si="0"/>
        <v>77.014100045349849</v>
      </c>
      <c r="B27" s="105">
        <v>924.16920054419825</v>
      </c>
      <c r="C27" s="105">
        <v>1.1248445676955356E-2</v>
      </c>
      <c r="D27" s="105">
        <v>-7.5335177730511209E-6</v>
      </c>
      <c r="E27" s="105">
        <v>1.874302498864688E-2</v>
      </c>
      <c r="F27" s="105">
        <v>1.2138130185176151E-5</v>
      </c>
      <c r="G27" s="105">
        <v>-2.0203407715610876E-4</v>
      </c>
      <c r="H27" s="105">
        <v>-1.4409527486274438E-6</v>
      </c>
      <c r="I27" s="105">
        <v>1.023499407814592</v>
      </c>
      <c r="K27" s="104">
        <f>C27+SIN('Calculated Behavior'!$D$30)*('Calculated Behavior'!$D$23+'C.G. &amp; Ideal Lift'!$D$22)-'C.G. &amp; Ideal Lift'!$D$22*SIN(Graphs!G27)</f>
        <v>1.2955469764369634</v>
      </c>
      <c r="L27" s="104">
        <f>C27+SIN('Calculated Behavior'!$D$30)*('Calculated Behavior'!$D$23+'Girder Input'!$B$29)+('Girder Input'!$B$29-'C.G. &amp; Ideal Lift'!$D$22)*SIN(Graphs!G27)</f>
        <v>1.4491879494038258</v>
      </c>
      <c r="N27" s="104">
        <v>0</v>
      </c>
      <c r="O27" s="104">
        <f t="shared" si="1"/>
        <v>4.3770269750883326</v>
      </c>
      <c r="P27" s="104">
        <v>52.524323701059991</v>
      </c>
      <c r="Q27" s="104">
        <v>0.14010816535267337</v>
      </c>
      <c r="R27" s="96"/>
      <c r="S27" s="96"/>
      <c r="T27" s="96"/>
      <c r="U27" s="96"/>
      <c r="V27" s="96"/>
      <c r="W27" s="96"/>
      <c r="X27" s="96"/>
      <c r="Y27" s="96"/>
      <c r="Z27" s="96"/>
      <c r="AA27" s="96"/>
      <c r="AE27" s="87"/>
      <c r="AF27" s="87"/>
    </row>
    <row r="28" spans="1:32" x14ac:dyDescent="0.3">
      <c r="A28" s="104">
        <f t="shared" si="0"/>
        <v>80.214200049472581</v>
      </c>
      <c r="B28" s="105">
        <v>962.57040059367091</v>
      </c>
      <c r="C28" s="105">
        <v>1.0900342706352146E-2</v>
      </c>
      <c r="D28" s="105">
        <v>-1.0647974911951888E-5</v>
      </c>
      <c r="E28" s="105">
        <v>1.8177942527192563E-2</v>
      </c>
      <c r="F28" s="105">
        <v>1.7379325767581091E-5</v>
      </c>
      <c r="G28" s="105">
        <v>-2.5976957059016417E-4</v>
      </c>
      <c r="H28" s="105">
        <v>-1.5641750002705634E-6</v>
      </c>
      <c r="I28" s="105">
        <v>1.0201914077127152</v>
      </c>
      <c r="K28" s="104">
        <f>C28+SIN('Calculated Behavior'!$D$30)*('Calculated Behavior'!$D$23+'C.G. &amp; Ideal Lift'!$D$22)-'C.G. &amp; Ideal Lift'!$D$22*SIN(Graphs!G28)</f>
        <v>1.2976108803099216</v>
      </c>
      <c r="L28" s="104">
        <f>C28+SIN('Calculated Behavior'!$D$30)*('Calculated Behavior'!$D$23+'Girder Input'!$B$29)+('Girder Input'!$B$29-'C.G. &amp; Ideal Lift'!$D$22)*SIN(Graphs!G28)</f>
        <v>1.4483073431905502</v>
      </c>
      <c r="N28" s="104">
        <v>0</v>
      </c>
      <c r="O28" s="104">
        <f t="shared" si="1"/>
        <v>4.3772360400883326</v>
      </c>
      <c r="P28" s="104">
        <v>52.526832481059991</v>
      </c>
      <c r="Q28" s="104">
        <v>0.1401114867009513</v>
      </c>
      <c r="R28" s="96"/>
      <c r="S28" s="96"/>
      <c r="T28" s="96"/>
      <c r="U28" s="96"/>
      <c r="V28" s="96"/>
      <c r="W28" s="96"/>
      <c r="X28" s="96"/>
      <c r="Y28" s="96"/>
      <c r="Z28" s="96"/>
      <c r="AA28" s="96"/>
      <c r="AE28" s="87"/>
      <c r="AF28" s="87"/>
    </row>
    <row r="29" spans="1:32" x14ac:dyDescent="0.3">
      <c r="A29" s="104">
        <f t="shared" si="0"/>
        <v>83.414300053595284</v>
      </c>
      <c r="B29" s="105">
        <v>1000.9716006431435</v>
      </c>
      <c r="C29" s="105">
        <v>1.0424682925234262E-2</v>
      </c>
      <c r="D29" s="105">
        <v>-1.4229036397759026E-5</v>
      </c>
      <c r="E29" s="105">
        <v>1.7398199801699189E-2</v>
      </c>
      <c r="F29" s="105">
        <v>2.3405751177417625E-5</v>
      </c>
      <c r="G29" s="105">
        <v>-3.2198725841136141E-4</v>
      </c>
      <c r="H29" s="105">
        <v>-1.6733562497077349E-6</v>
      </c>
      <c r="I29" s="105">
        <v>1.0166265967894983</v>
      </c>
      <c r="K29" s="104">
        <f>C29+SIN('Calculated Behavior'!$D$30)*('Calculated Behavior'!$D$23+'C.G. &amp; Ideal Lift'!$D$22)-'C.G. &amp; Ideal Lift'!$D$22*SIN(Graphs!G29)</f>
        <v>1.2997344792782792</v>
      </c>
      <c r="L29" s="104">
        <f>C29+SIN('Calculated Behavior'!$D$30)*('Calculated Behavior'!$D$23+'Girder Input'!$B$29)+('Girder Input'!$B$29-'C.G. &amp; Ideal Lift'!$D$22)*SIN(Graphs!G29)</f>
        <v>1.4472578402147773</v>
      </c>
      <c r="N29" s="104">
        <v>0</v>
      </c>
      <c r="O29" s="104">
        <f t="shared" si="1"/>
        <v>4.3776541700883325</v>
      </c>
      <c r="P29" s="104">
        <v>52.53185004105999</v>
      </c>
      <c r="Q29" s="104">
        <v>0.14011813036082349</v>
      </c>
      <c r="R29" s="96"/>
      <c r="S29" s="96"/>
      <c r="T29" s="96"/>
      <c r="U29" s="96"/>
      <c r="V29" s="96"/>
      <c r="W29" s="96"/>
      <c r="X29" s="96"/>
      <c r="Y29" s="96"/>
      <c r="Z29" s="96"/>
      <c r="AA29" s="96"/>
    </row>
    <row r="30" spans="1:32" x14ac:dyDescent="0.3">
      <c r="A30" s="104">
        <f t="shared" si="0"/>
        <v>86.614400057718001</v>
      </c>
      <c r="B30" s="105">
        <v>1039.372800692616</v>
      </c>
      <c r="C30" s="105">
        <v>9.7975411793930611E-3</v>
      </c>
      <c r="D30" s="105">
        <v>-1.858955637729216E-5</v>
      </c>
      <c r="E30" s="105">
        <v>1.6363534125299093E-2</v>
      </c>
      <c r="F30" s="105">
        <v>3.0743896168475061E-5</v>
      </c>
      <c r="G30" s="105">
        <v>-3.8801924438088914E-4</v>
      </c>
      <c r="H30" s="105">
        <v>-1.761526104054384E-6</v>
      </c>
      <c r="I30" s="105">
        <v>1.0128432426805771</v>
      </c>
      <c r="K30" s="104">
        <f>C30+SIN('Calculated Behavior'!$D$30)*('Calculated Behavior'!$D$23+'C.G. &amp; Ideal Lift'!$D$22)-'C.G. &amp; Ideal Lift'!$D$22*SIN(Graphs!G30)</f>
        <v>1.3018659455702679</v>
      </c>
      <c r="L30" s="104">
        <f>C30+SIN('Calculated Behavior'!$D$30)*('Calculated Behavior'!$D$23+'Girder Input'!$B$29)+('Girder Input'!$B$29-'C.G. &amp; Ideal Lift'!$D$22)*SIN(Graphs!G30)</f>
        <v>1.4460216754351385</v>
      </c>
      <c r="N30" s="104">
        <v>0</v>
      </c>
      <c r="O30" s="104">
        <f t="shared" si="1"/>
        <v>4.3778632350883324</v>
      </c>
      <c r="P30" s="104">
        <v>52.534358821059989</v>
      </c>
      <c r="Q30" s="104">
        <v>0.14012145267351392</v>
      </c>
      <c r="R30" s="96"/>
      <c r="S30" s="96"/>
      <c r="T30" s="96"/>
      <c r="U30" s="96"/>
      <c r="V30" s="96"/>
      <c r="W30" s="96"/>
      <c r="X30" s="96"/>
      <c r="Y30" s="96"/>
      <c r="Z30" s="96"/>
      <c r="AA30" s="96"/>
    </row>
    <row r="31" spans="1:32" x14ac:dyDescent="0.3">
      <c r="A31" s="104">
        <f t="shared" si="0"/>
        <v>89.814500061840718</v>
      </c>
      <c r="B31" s="105">
        <v>1077.7740007420887</v>
      </c>
      <c r="C31" s="105">
        <v>8.9829783399415167E-3</v>
      </c>
      <c r="D31" s="105">
        <v>-2.404238899737154E-5</v>
      </c>
      <c r="E31" s="105">
        <v>1.5013464972765336E-2</v>
      </c>
      <c r="F31" s="105">
        <v>3.9920250494543786E-5</v>
      </c>
      <c r="G31" s="105">
        <v>-4.5689411007458904E-4</v>
      </c>
      <c r="H31" s="105">
        <v>-1.8197141283111541E-6</v>
      </c>
      <c r="I31" s="105">
        <v>1.0088970035617979</v>
      </c>
      <c r="K31" s="104">
        <f>C31+SIN('Calculated Behavior'!$D$30)*('Calculated Behavior'!$D$23+'C.G. &amp; Ideal Lift'!$D$22)-'C.G. &amp; Ideal Lift'!$D$22*SIN(Graphs!G31)</f>
        <v>1.3039287572385245</v>
      </c>
      <c r="L31" s="104">
        <f>C31+SIN('Calculated Behavior'!$D$30)*('Calculated Behavior'!$D$23+'Girder Input'!$B$29)+('Girder Input'!$B$29-'C.G. &amp; Ideal Lift'!$D$22)*SIN(Graphs!G31)</f>
        <v>1.4445718692671585</v>
      </c>
      <c r="N31" s="104">
        <v>0</v>
      </c>
      <c r="O31" s="104">
        <f t="shared" si="1"/>
        <v>5.145781006827554</v>
      </c>
      <c r="P31" s="104">
        <v>61.749372081930645</v>
      </c>
      <c r="Q31" s="104">
        <v>0.15462618614560064</v>
      </c>
      <c r="R31" s="96"/>
      <c r="S31" s="96"/>
      <c r="T31" s="96"/>
      <c r="U31" s="96"/>
      <c r="V31" s="96"/>
      <c r="W31" s="96"/>
      <c r="X31" s="96"/>
      <c r="Y31" s="96"/>
      <c r="Z31" s="96"/>
      <c r="AA31" s="96"/>
    </row>
    <row r="32" spans="1:32" x14ac:dyDescent="0.3">
      <c r="A32" s="104">
        <f t="shared" si="0"/>
        <v>93.014600065963421</v>
      </c>
      <c r="B32" s="105">
        <v>1116.1752007915611</v>
      </c>
      <c r="C32" s="105">
        <v>7.9330413033142817E-3</v>
      </c>
      <c r="D32" s="105">
        <v>-3.090038840481665E-5</v>
      </c>
      <c r="E32" s="105">
        <v>1.3267293980511742E-2</v>
      </c>
      <c r="F32" s="105">
        <v>5.146130390941343E-5</v>
      </c>
      <c r="G32" s="105">
        <v>-5.2724459740876033E-4</v>
      </c>
      <c r="H32" s="105">
        <v>-1.8361361294840323E-6</v>
      </c>
      <c r="I32" s="105">
        <v>1.0048662175508611</v>
      </c>
      <c r="K32" s="104">
        <f>C32+SIN('Calculated Behavior'!$D$30)*('Calculated Behavior'!$D$23+'C.G. &amp; Ideal Lift'!$D$22)-'C.G. &amp; Ideal Lift'!$D$22*SIN(Graphs!G32)</f>
        <v>1.3058178414308494</v>
      </c>
      <c r="L32" s="104">
        <f>C32+SIN('Calculated Behavior'!$D$30)*('Calculated Behavior'!$D$23+'Girder Input'!$B$29)+('Girder Input'!$B$29-'C.G. &amp; Ideal Lift'!$D$22)*SIN(Graphs!G32)</f>
        <v>1.4428730790405508</v>
      </c>
      <c r="N32" s="104">
        <v>0</v>
      </c>
      <c r="O32" s="104">
        <f t="shared" si="1"/>
        <v>5.145990071827554</v>
      </c>
      <c r="P32" s="104">
        <v>61.751880861930644</v>
      </c>
      <c r="Q32" s="104">
        <v>0.15463079829881601</v>
      </c>
      <c r="R32" s="96"/>
      <c r="S32" s="96"/>
      <c r="T32" s="96"/>
      <c r="U32" s="96"/>
      <c r="V32" s="96"/>
      <c r="W32" s="96"/>
      <c r="X32" s="96"/>
      <c r="Y32" s="96"/>
      <c r="Z32" s="96"/>
      <c r="AA32" s="96"/>
    </row>
    <row r="33" spans="1:27" x14ac:dyDescent="0.3">
      <c r="A33" s="104">
        <f t="shared" si="0"/>
        <v>96.214700070086153</v>
      </c>
      <c r="B33" s="105">
        <v>1154.5764008410338</v>
      </c>
      <c r="C33" s="105">
        <v>6.5877629912676934E-3</v>
      </c>
      <c r="D33" s="105">
        <v>-3.9476408746447258E-5</v>
      </c>
      <c r="E33" s="105">
        <v>1.1024104946592792E-2</v>
      </c>
      <c r="F33" s="105">
        <v>6.5893546166873515E-5</v>
      </c>
      <c r="G33" s="105">
        <v>-5.9718330520496302E-4</v>
      </c>
      <c r="H33" s="105">
        <v>-1.7953399880273541E-6</v>
      </c>
      <c r="I33" s="105">
        <v>1.0008590247695401</v>
      </c>
      <c r="K33" s="104">
        <f>C33+SIN('Calculated Behavior'!$D$30)*('Calculated Behavior'!$D$23+'C.G. &amp; Ideal Lift'!$D$22)-'C.G. &amp; Ideal Lift'!$D$22*SIN(Graphs!G33)</f>
        <v>1.3073943813908233</v>
      </c>
      <c r="L33" s="104">
        <f>C33+SIN('Calculated Behavior'!$D$30)*('Calculated Behavior'!$D$23+'Girder Input'!$B$29)+('Girder Input'!$B$29-'C.G. &amp; Ideal Lift'!$D$22)*SIN(Graphs!G33)</f>
        <v>1.4408827454673623</v>
      </c>
      <c r="N33" s="104">
        <v>0</v>
      </c>
      <c r="O33" s="104">
        <f t="shared" si="1"/>
        <v>5.1464082018275539</v>
      </c>
      <c r="P33" s="104">
        <v>61.756898421930643</v>
      </c>
      <c r="Q33" s="104">
        <v>0.15464002374864655</v>
      </c>
      <c r="R33" s="96"/>
      <c r="S33" s="96"/>
      <c r="T33" s="96"/>
      <c r="U33" s="96"/>
      <c r="V33" s="96"/>
      <c r="W33" s="96"/>
      <c r="X33" s="96"/>
      <c r="Y33" s="96"/>
      <c r="Z33" s="96"/>
      <c r="AA33" s="96"/>
    </row>
    <row r="34" spans="1:27" x14ac:dyDescent="0.3">
      <c r="A34" s="104">
        <f t="shared" si="0"/>
        <v>99.414800074208856</v>
      </c>
      <c r="B34" s="105">
        <v>1192.9776008905062</v>
      </c>
      <c r="C34" s="105">
        <v>4.8751623508797495E-3</v>
      </c>
      <c r="D34" s="105">
        <v>-5.0083304169083449E-5</v>
      </c>
      <c r="E34" s="105">
        <v>8.1627638307037453E-3</v>
      </c>
      <c r="F34" s="105">
        <v>8.3743467020713539E-5</v>
      </c>
      <c r="G34" s="105">
        <v>-6.6414461190016322E-4</v>
      </c>
      <c r="H34" s="105">
        <v>-1.6772987200162474E-6</v>
      </c>
      <c r="I34" s="105">
        <v>0.99702242450522405</v>
      </c>
      <c r="K34" s="104">
        <f>C34+SIN('Calculated Behavior'!$D$30)*('Calculated Behavior'!$D$23+'C.G. &amp; Ideal Lift'!$D$22)-'C.G. &amp; Ideal Lift'!$D$22*SIN(Graphs!G34)</f>
        <v>1.3084792124960467</v>
      </c>
      <c r="L34" s="104">
        <f>C34+SIN('Calculated Behavior'!$D$30)*('Calculated Behavior'!$D$23+'Girder Input'!$B$29)+('Girder Input'!$B$29-'C.G. &amp; Ideal Lift'!$D$22)*SIN(Graphs!G34)</f>
        <v>1.4385525506109096</v>
      </c>
      <c r="N34" s="104">
        <v>0</v>
      </c>
      <c r="O34" s="104">
        <f t="shared" si="1"/>
        <v>5.1466172668275538</v>
      </c>
      <c r="P34" s="104">
        <v>61.759407201930642</v>
      </c>
      <c r="Q34" s="104">
        <v>0.15464463704318554</v>
      </c>
      <c r="R34" s="96"/>
      <c r="S34" s="96"/>
      <c r="T34" s="96"/>
      <c r="U34" s="96"/>
      <c r="V34" s="96"/>
      <c r="W34" s="96"/>
      <c r="X34" s="96"/>
      <c r="Y34" s="96"/>
      <c r="Z34" s="96"/>
      <c r="AA34" s="96"/>
    </row>
    <row r="35" spans="1:27" x14ac:dyDescent="0.3">
      <c r="A35" s="104">
        <f t="shared" si="0"/>
        <v>102.61490007833157</v>
      </c>
      <c r="B35" s="105">
        <v>1231.3788009399789</v>
      </c>
      <c r="C35" s="105">
        <v>2.7112443545500762E-3</v>
      </c>
      <c r="D35" s="105">
        <v>-6.3033928819545084E-5</v>
      </c>
      <c r="E35" s="105">
        <v>4.5419187541805833E-3</v>
      </c>
      <c r="F35" s="105">
        <v>1.0553755622472321E-4</v>
      </c>
      <c r="G35" s="105">
        <v>-7.2469055032174884E-4</v>
      </c>
      <c r="H35" s="105">
        <v>-1.4564377321454443E-6</v>
      </c>
      <c r="I35" s="105">
        <v>0.99355339776700813</v>
      </c>
      <c r="K35" s="104">
        <f>C35+SIN('Calculated Behavior'!$D$30)*('Calculated Behavior'!$D$23+'C.G. &amp; Ideal Lift'!$D$22)-'C.G. &amp; Ideal Lift'!$D$22*SIN(Graphs!G35)</f>
        <v>1.3088447123294926</v>
      </c>
      <c r="L35" s="104">
        <f>C35+SIN('Calculated Behavior'!$D$30)*('Calculated Behavior'!$D$23+'Girder Input'!$B$29)+('Girder Input'!$B$29-'C.G. &amp; Ideal Lift'!$D$22)*SIN(Graphs!G35)</f>
        <v>1.4358302083298295</v>
      </c>
      <c r="N35" s="104">
        <v>0</v>
      </c>
      <c r="O35" s="104">
        <f t="shared" si="1"/>
        <v>6.2715318700000005</v>
      </c>
      <c r="P35" s="104">
        <v>75.258382440000005</v>
      </c>
      <c r="Q35" s="104">
        <v>0.18540736899189342</v>
      </c>
      <c r="R35" s="96"/>
      <c r="S35" s="96"/>
      <c r="T35" s="96"/>
      <c r="U35" s="96"/>
      <c r="V35" s="96"/>
      <c r="W35" s="96"/>
      <c r="X35" s="96"/>
      <c r="Y35" s="96"/>
      <c r="Z35" s="96"/>
      <c r="AA35" s="96"/>
    </row>
    <row r="36" spans="1:27" x14ac:dyDescent="0.3">
      <c r="A36" s="104">
        <f t="shared" si="0"/>
        <v>105.81500008245429</v>
      </c>
      <c r="B36" s="105">
        <v>1269.7800009894515</v>
      </c>
      <c r="D36" s="105">
        <v>-7.8641136844651938E-5</v>
      </c>
      <c r="F36" s="105">
        <v>1.3180230353269172E-4</v>
      </c>
      <c r="G36" s="105">
        <v>-7.7427784227611612E-4</v>
      </c>
      <c r="H36" s="105">
        <v>-1.1005822841958459E-6</v>
      </c>
      <c r="I36" s="105">
        <v>0.99071225522053985</v>
      </c>
      <c r="K36" s="104">
        <f>C36+SIN('Calculated Behavior'!$D$30)*('Calculated Behavior'!$D$23+'C.G. &amp; Ideal Lift'!$D$22)-'C.G. &amp; Ideal Lift'!$D$22*SIN(Graphs!G36)</f>
        <v>1.308205068129956</v>
      </c>
      <c r="L36" s="104">
        <f>C36+SIN('Calculated Behavior'!$D$30)*('Calculated Behavior'!$D$23+'Girder Input'!$B$29)+('Girder Input'!$B$29-'C.G. &amp; Ideal Lift'!$D$22)*SIN(Graphs!G36)</f>
        <v>1.4326616129511689</v>
      </c>
      <c r="N36" s="104">
        <v>0</v>
      </c>
      <c r="O36" s="104">
        <f t="shared" si="1"/>
        <v>6.2717409350000004</v>
      </c>
      <c r="P36" s="104">
        <v>75.260891220000005</v>
      </c>
      <c r="Q36" s="104">
        <v>0.18541426883217493</v>
      </c>
      <c r="R36" s="96"/>
      <c r="S36" s="96"/>
      <c r="T36" s="96"/>
      <c r="U36" s="96"/>
      <c r="V36" s="96"/>
      <c r="W36" s="96"/>
      <c r="X36" s="96"/>
      <c r="Y36" s="96"/>
      <c r="Z36" s="96"/>
      <c r="AA36" s="96"/>
    </row>
    <row r="37" spans="1:27" x14ac:dyDescent="0.3">
      <c r="A37" s="104">
        <f t="shared" si="0"/>
        <v>109.29900007420888</v>
      </c>
      <c r="B37" s="105">
        <v>1311.5880008905065</v>
      </c>
      <c r="C37" s="105">
        <v>-3.6496245028686575E-3</v>
      </c>
      <c r="D37" s="105">
        <v>-9.5343457529325676E-5</v>
      </c>
      <c r="E37" s="105">
        <v>-6.119242504519791E-3</v>
      </c>
      <c r="F37" s="105">
        <v>1.599099722158989E-4</v>
      </c>
      <c r="G37" s="105">
        <v>-8.1155927700462562E-4</v>
      </c>
      <c r="H37" s="105">
        <v>-7.0917705347879597E-7</v>
      </c>
      <c r="I37" s="105">
        <v>0.9885761863564041</v>
      </c>
      <c r="K37" s="104">
        <f>C37+SIN('Calculated Behavior'!$D$30)*('Calculated Behavior'!$D$23+'C.G. &amp; Ideal Lift'!$D$22)-'C.G. &amp; Ideal Lift'!$D$22*SIN(Graphs!G37)</f>
        <v>1.3061129439529808</v>
      </c>
      <c r="L37" s="104">
        <f>C37+SIN('Calculated Behavior'!$D$30)*('Calculated Behavior'!$D$23+'Girder Input'!$B$29)+('Girder Input'!$B$29-'C.G. &amp; Ideal Lift'!$D$22)*SIN(Graphs!G37)</f>
        <v>1.4286681362008591</v>
      </c>
      <c r="N37" s="104">
        <v>0</v>
      </c>
      <c r="O37" s="104">
        <f t="shared" si="1"/>
        <v>6.2721590650000003</v>
      </c>
      <c r="P37" s="104">
        <v>75.265908780000004</v>
      </c>
      <c r="Q37" s="104">
        <v>0.18542806993003064</v>
      </c>
      <c r="R37" s="96"/>
      <c r="S37" s="96"/>
      <c r="T37" s="96"/>
      <c r="U37" s="96"/>
      <c r="V37" s="96"/>
      <c r="W37" s="96"/>
      <c r="X37" s="96"/>
      <c r="Y37" s="96"/>
      <c r="Z37" s="96"/>
      <c r="AA37" s="96"/>
    </row>
    <row r="38" spans="1:27" x14ac:dyDescent="0.3">
      <c r="A38" s="104">
        <f t="shared" si="0"/>
        <v>112.78300006596344</v>
      </c>
      <c r="B38" s="105">
        <v>1353.3960007915612</v>
      </c>
      <c r="C38" s="105">
        <v>-7.924449479340007E-3</v>
      </c>
      <c r="D38" s="105">
        <v>-1.0861659863035752E-4</v>
      </c>
      <c r="E38" s="105">
        <v>-1.3290609926550772E-2</v>
      </c>
      <c r="F38" s="105">
        <v>1.8224681147893329E-4</v>
      </c>
      <c r="G38" s="105">
        <v>-8.3544664445206192E-4</v>
      </c>
      <c r="H38" s="105">
        <v>-4.5234617422664663E-7</v>
      </c>
      <c r="I38" s="105">
        <v>0.98720754101798769</v>
      </c>
      <c r="K38" s="104">
        <f>C38+SIN('Calculated Behavior'!$D$30)*('Calculated Behavior'!$D$23+'C.G. &amp; Ideal Lift'!$D$22)-'C.G. &amp; Ideal Lift'!$D$22*SIN(Graphs!G38)</f>
        <v>1.30283605754665</v>
      </c>
      <c r="L38" s="104">
        <f>C38+SIN('Calculated Behavior'!$D$30)*('Calculated Behavior'!$D$23+'Girder Input'!$B$29)+('Girder Input'!$B$29-'C.G. &amp; Ideal Lift'!$D$22)*SIN(Graphs!G38)</f>
        <v>1.4241729944678223</v>
      </c>
      <c r="N38" s="104">
        <v>0</v>
      </c>
      <c r="O38" s="104">
        <f t="shared" si="1"/>
        <v>6.2723681300000003</v>
      </c>
      <c r="P38" s="104">
        <v>75.268417560000003</v>
      </c>
      <c r="Q38" s="104">
        <v>0.18543497117381386</v>
      </c>
      <c r="R38" s="96"/>
      <c r="S38" s="96"/>
      <c r="T38" s="96"/>
      <c r="U38" s="96"/>
      <c r="V38" s="96"/>
      <c r="W38" s="96"/>
      <c r="X38" s="96"/>
      <c r="Y38" s="96"/>
      <c r="Z38" s="96"/>
      <c r="AA38" s="96"/>
    </row>
    <row r="39" spans="1:27" x14ac:dyDescent="0.3">
      <c r="A39" s="104">
        <f t="shared" si="0"/>
        <v>116.26700005771801</v>
      </c>
      <c r="B39" s="105">
        <v>1395.2040006926161</v>
      </c>
      <c r="C39" s="105">
        <v>-1.2689547258216817E-2</v>
      </c>
      <c r="D39" s="105">
        <v>-1.1886428520114942E-4</v>
      </c>
      <c r="E39" s="105">
        <v>-2.1287037874873883E-2</v>
      </c>
      <c r="F39" s="105">
        <v>1.9949223409648477E-4</v>
      </c>
      <c r="G39" s="105">
        <v>-8.507002057514477E-4</v>
      </c>
      <c r="H39" s="105">
        <v>-2.9037220357350136E-7</v>
      </c>
      <c r="I39" s="105">
        <v>0.98633357633298868</v>
      </c>
      <c r="K39" s="104">
        <f>C39+SIN('Calculated Behavior'!$D$30)*('Calculated Behavior'!$D$23+'C.G. &amp; Ideal Lift'!$D$22)-'C.G. &amp; Ideal Lift'!$D$22*SIN(Graphs!G39)</f>
        <v>1.2987082052465027</v>
      </c>
      <c r="L39" s="104">
        <f>C39+SIN('Calculated Behavior'!$D$30)*('Calculated Behavior'!$D$23+'Girder Input'!$B$29)+('Girder Input'!$B$29-'C.G. &amp; Ideal Lift'!$D$22)*SIN(Graphs!G39)</f>
        <v>1.4192672108178803</v>
      </c>
      <c r="N39" s="104">
        <v>0</v>
      </c>
      <c r="O39" s="104">
        <f t="shared" si="1"/>
        <v>7.3972827331724469</v>
      </c>
      <c r="P39" s="104">
        <v>88.767392798069366</v>
      </c>
      <c r="Q39" s="104">
        <v>0.48350801004042226</v>
      </c>
      <c r="R39" s="96"/>
      <c r="S39" s="96"/>
      <c r="T39" s="96"/>
      <c r="U39" s="96"/>
      <c r="V39" s="96"/>
      <c r="W39" s="96"/>
      <c r="X39" s="96"/>
      <c r="Y39" s="96"/>
      <c r="Z39" s="96"/>
      <c r="AA39" s="96"/>
    </row>
    <row r="40" spans="1:27" x14ac:dyDescent="0.3">
      <c r="A40" s="104">
        <f t="shared" si="0"/>
        <v>119.75100004947258</v>
      </c>
      <c r="B40" s="105">
        <v>1437.012000593671</v>
      </c>
      <c r="C40" s="105">
        <v>-1.7826869105294491E-2</v>
      </c>
      <c r="D40" s="105">
        <v>-1.2649024229510335E-4</v>
      </c>
      <c r="E40" s="105">
        <v>-2.9909866847487029E-2</v>
      </c>
      <c r="F40" s="105">
        <v>2.1232565284324431E-4</v>
      </c>
      <c r="G40" s="105">
        <v>-8.6062268865921159E-4</v>
      </c>
      <c r="H40" s="105">
        <v>-1.9297428336145004E-7</v>
      </c>
      <c r="I40" s="105">
        <v>0.98576505994008312</v>
      </c>
      <c r="K40" s="104">
        <f>C40+SIN('Calculated Behavior'!$D$30)*('Calculated Behavior'!$D$23+'C.G. &amp; Ideal Lift'!$D$22)-'C.G. &amp; Ideal Lift'!$D$22*SIN(Graphs!G40)</f>
        <v>1.2939854133035615</v>
      </c>
      <c r="L40" s="104">
        <f>C40+SIN('Calculated Behavior'!$D$30)*('Calculated Behavior'!$D$23+'Girder Input'!$B$29)+('Girder Input'!$B$29-'C.G. &amp; Ideal Lift'!$D$22)*SIN(Graphs!G40)</f>
        <v>1.4140383724318979</v>
      </c>
      <c r="N40" s="104">
        <v>0</v>
      </c>
      <c r="O40" s="104">
        <f t="shared" si="1"/>
        <v>7.3974917981724468</v>
      </c>
      <c r="P40" s="104">
        <v>88.769901578069366</v>
      </c>
      <c r="Q40" s="104">
        <v>0.48351767058581446</v>
      </c>
      <c r="R40" s="96"/>
      <c r="S40" s="96"/>
      <c r="T40" s="96"/>
      <c r="U40" s="96"/>
      <c r="V40" s="96"/>
      <c r="W40" s="96"/>
      <c r="X40" s="96"/>
      <c r="Y40" s="96"/>
      <c r="Z40" s="96"/>
      <c r="AA40" s="96"/>
    </row>
    <row r="41" spans="1:27" x14ac:dyDescent="0.3">
      <c r="A41" s="104">
        <f t="shared" si="0"/>
        <v>123.23500004122714</v>
      </c>
      <c r="B41" s="105">
        <v>1478.8200004947257</v>
      </c>
      <c r="C41" s="105">
        <v>-2.3235245223361133E-2</v>
      </c>
      <c r="D41" s="105">
        <v>-1.3189819496562112E-4</v>
      </c>
      <c r="E41" s="105">
        <v>-3.8988842231605245E-2</v>
      </c>
      <c r="F41" s="105">
        <v>2.2142648049390206E-4</v>
      </c>
      <c r="G41" s="105">
        <v>-8.6742060829902935E-4</v>
      </c>
      <c r="H41" s="105">
        <v>-1.3774426463004804E-7</v>
      </c>
      <c r="I41" s="105">
        <v>0.98537556783525249</v>
      </c>
      <c r="K41" s="104">
        <f>C41+SIN('Calculated Behavior'!$D$30)*('Calculated Behavior'!$D$23+'C.G. &amp; Ideal Lift'!$D$22)-'C.G. &amp; Ideal Lift'!$D$22*SIN(Graphs!G41)</f>
        <v>1.2888610327320296</v>
      </c>
      <c r="L41" s="104">
        <f>C41+SIN('Calculated Behavior'!$D$30)*('Calculated Behavior'!$D$23+'Girder Input'!$B$29)+('Girder Input'!$B$29-'C.G. &amp; Ideal Lift'!$D$22)*SIN(Graphs!G41)</f>
        <v>1.4085672980881452</v>
      </c>
      <c r="N41" s="104">
        <v>0</v>
      </c>
      <c r="O41" s="104">
        <f t="shared" si="1"/>
        <v>7.3979099281724467</v>
      </c>
      <c r="P41" s="104">
        <v>88.774919138069365</v>
      </c>
      <c r="Q41" s="104">
        <v>0.48353699334156552</v>
      </c>
      <c r="R41" s="96"/>
      <c r="S41" s="96"/>
      <c r="T41" s="96"/>
      <c r="U41" s="96"/>
      <c r="V41" s="96"/>
      <c r="W41" s="96"/>
      <c r="X41" s="96"/>
      <c r="Y41" s="96"/>
      <c r="Z41" s="96"/>
      <c r="AA41" s="96"/>
    </row>
    <row r="42" spans="1:27" x14ac:dyDescent="0.3">
      <c r="A42" s="104">
        <f t="shared" si="0"/>
        <v>126.71900003298173</v>
      </c>
      <c r="B42" s="105">
        <v>1520.6280003957806</v>
      </c>
      <c r="C42" s="105">
        <v>-2.8830384752197541E-2</v>
      </c>
      <c r="D42" s="105">
        <v>-1.3549186826610456E-4</v>
      </c>
      <c r="E42" s="105">
        <v>-4.8382114303660524E-2</v>
      </c>
      <c r="F42" s="105">
        <v>2.2747412982314962E-4</v>
      </c>
      <c r="G42" s="105">
        <v>-8.7250310231412761E-4</v>
      </c>
      <c r="H42" s="105">
        <v>-1.0871759536574845E-7</v>
      </c>
      <c r="I42" s="105">
        <v>0.98508436237878694</v>
      </c>
      <c r="K42" s="104">
        <f>C42+SIN('Calculated Behavior'!$D$30)*('Calculated Behavior'!$D$23+'C.G. &amp; Ideal Lift'!$D$22)-'C.G. &amp; Ideal Lift'!$D$22*SIN(Graphs!G42)</f>
        <v>1.2834782237005544</v>
      </c>
      <c r="L42" s="104">
        <f>C42+SIN('Calculated Behavior'!$D$30)*('Calculated Behavior'!$D$23+'Girder Input'!$B$29)+('Girder Input'!$B$29-'C.G. &amp; Ideal Lift'!$D$22)*SIN(Graphs!G42)</f>
        <v>1.4029252819599884</v>
      </c>
      <c r="N42" s="104">
        <v>0</v>
      </c>
      <c r="O42" s="104">
        <f t="shared" si="1"/>
        <v>7.3981189931724467</v>
      </c>
      <c r="P42" s="104">
        <v>88.777427918069364</v>
      </c>
      <c r="Q42" s="104">
        <v>0.48354665555203791</v>
      </c>
      <c r="R42" s="96"/>
      <c r="S42" s="96"/>
      <c r="T42" s="96"/>
      <c r="U42" s="96"/>
      <c r="V42" s="96"/>
      <c r="W42" s="96"/>
      <c r="X42" s="96"/>
      <c r="Y42" s="96"/>
      <c r="Z42" s="96"/>
      <c r="AA42" s="96"/>
    </row>
    <row r="43" spans="1:27" x14ac:dyDescent="0.3">
      <c r="A43" s="104">
        <f t="shared" si="0"/>
        <v>130.2030000247363</v>
      </c>
      <c r="B43" s="105">
        <v>1562.4360002968356</v>
      </c>
      <c r="C43" s="105">
        <v>-3.4556264777802985E-2</v>
      </c>
      <c r="D43" s="105">
        <v>-1.3816810294672776E-4</v>
      </c>
      <c r="E43" s="105">
        <v>-5.7992349563912082E-2</v>
      </c>
      <c r="F43" s="105">
        <v>2.3184435366113948E-4</v>
      </c>
      <c r="G43" s="105">
        <v>-8.7664185722962501E-4</v>
      </c>
      <c r="H43" s="105">
        <v>-9.1436494975096551E-8</v>
      </c>
      <c r="I43" s="105">
        <v>0.98484722918968981</v>
      </c>
      <c r="K43" s="104">
        <f>C43+SIN('Calculated Behavior'!$D$30)*('Calculated Behavior'!$D$23+'C.G. &amp; Ideal Lift'!$D$22)-'C.G. &amp; Ideal Lift'!$D$22*SIN(Graphs!G43)</f>
        <v>1.2779252477420309</v>
      </c>
      <c r="L43" s="104">
        <f>C43+SIN('Calculated Behavior'!$D$30)*('Calculated Behavior'!$D$23+'Girder Input'!$B$29)+('Girder Input'!$B$29-'C.G. &amp; Ideal Lift'!$D$22)*SIN(Graphs!G43)</f>
        <v>1.3971612295814986</v>
      </c>
      <c r="N43" s="104">
        <v>0</v>
      </c>
      <c r="O43" s="104">
        <f t="shared" si="1"/>
        <v>8.1660367649116683</v>
      </c>
      <c r="P43" s="104">
        <v>97.992441178940027</v>
      </c>
      <c r="Q43" s="104">
        <v>0.52293741025800489</v>
      </c>
      <c r="R43" s="96"/>
      <c r="S43" s="96"/>
      <c r="T43" s="96"/>
      <c r="U43" s="96"/>
      <c r="V43" s="96"/>
      <c r="W43" s="96"/>
      <c r="X43" s="96"/>
      <c r="Y43" s="96"/>
      <c r="Z43" s="96"/>
      <c r="AA43" s="96"/>
    </row>
    <row r="44" spans="1:27" x14ac:dyDescent="0.3">
      <c r="A44" s="104">
        <f t="shared" si="0"/>
        <v>133.68700001649086</v>
      </c>
      <c r="B44" s="105">
        <v>1604.2440001978903</v>
      </c>
      <c r="C44" s="105">
        <v>-4.0365304817725343E-2</v>
      </c>
      <c r="D44" s="105">
        <v>-1.3954238562056224E-4</v>
      </c>
      <c r="E44" s="105">
        <v>-6.7738383033329061E-2</v>
      </c>
      <c r="F44" s="105">
        <v>2.340885226590247E-4</v>
      </c>
      <c r="G44" s="105">
        <v>-8.8028070740679167E-4</v>
      </c>
      <c r="H44" s="105">
        <v>-8.3746984559258516E-8</v>
      </c>
      <c r="I44" s="105">
        <v>0.9846387384322578</v>
      </c>
      <c r="K44" s="104">
        <f>C44+SIN('Calculated Behavior'!$D$30)*('Calculated Behavior'!$D$23+'C.G. &amp; Ideal Lift'!$D$22)-'C.G. &amp; Ideal Lift'!$D$22*SIN(Graphs!G44)</f>
        <v>1.2722682273326098</v>
      </c>
      <c r="L44" s="104">
        <f>C44+SIN('Calculated Behavior'!$D$30)*('Calculated Behavior'!$D$23+'Girder Input'!$B$29)+('Girder Input'!$B$29-'C.G. &amp; Ideal Lift'!$D$22)*SIN(Graphs!G44)</f>
        <v>1.3913186278846483</v>
      </c>
      <c r="N44" s="104">
        <v>0</v>
      </c>
      <c r="O44" s="104">
        <f t="shared" si="1"/>
        <v>8.1662458299116683</v>
      </c>
      <c r="P44" s="104">
        <v>97.994949958940026</v>
      </c>
      <c r="Q44" s="104">
        <v>0.52294923556668427</v>
      </c>
      <c r="R44" s="96"/>
      <c r="S44" s="96"/>
      <c r="T44" s="96"/>
      <c r="U44" s="96"/>
      <c r="V44" s="96"/>
      <c r="W44" s="96"/>
      <c r="X44" s="96"/>
      <c r="Y44" s="96"/>
      <c r="Z44" s="96"/>
      <c r="AA44" s="96"/>
    </row>
    <row r="45" spans="1:27" x14ac:dyDescent="0.3">
      <c r="A45" s="104">
        <f t="shared" si="0"/>
        <v>137.17100000824544</v>
      </c>
      <c r="B45" s="105">
        <v>1646.0520000989452</v>
      </c>
      <c r="C45" s="105">
        <v>-4.6212144864155383E-2</v>
      </c>
      <c r="D45" s="105">
        <v>-1.4004870028987051E-4</v>
      </c>
      <c r="E45" s="105">
        <v>-7.7546142961457551E-2</v>
      </c>
      <c r="F45" s="105">
        <v>2.3491532176350826E-4</v>
      </c>
      <c r="G45" s="105">
        <v>-8.8370995243723736E-4</v>
      </c>
      <c r="H45" s="105">
        <v>-8.0834815525026066E-8</v>
      </c>
      <c r="I45" s="105">
        <v>0.98444225716509715</v>
      </c>
      <c r="K45" s="104">
        <f>C45+SIN('Calculated Behavior'!$D$30)*('Calculated Behavior'!$D$23+'C.G. &amp; Ideal Lift'!$D$22)-'C.G. &amp; Ideal Lift'!$D$22*SIN(Graphs!G45)</f>
        <v>1.2665646502773509</v>
      </c>
      <c r="L45" s="104">
        <f>C45+SIN('Calculated Behavior'!$D$30)*('Calculated Behavior'!$D$23+'Girder Input'!$B$29)+('Girder Input'!$B$29-'C.G. &amp; Ideal Lift'!$D$22)*SIN(Graphs!G45)</f>
        <v>1.3854401594008621</v>
      </c>
      <c r="N45" s="104">
        <v>0</v>
      </c>
      <c r="O45" s="104">
        <f t="shared" si="1"/>
        <v>8.1666639599116682</v>
      </c>
      <c r="P45" s="104">
        <v>97.999967518940025</v>
      </c>
      <c r="Q45" s="104">
        <v>0.52297288805917896</v>
      </c>
      <c r="R45" s="96"/>
      <c r="S45" s="96"/>
      <c r="T45" s="96"/>
      <c r="U45" s="96"/>
      <c r="V45" s="96"/>
      <c r="W45" s="96"/>
      <c r="X45" s="96"/>
      <c r="Y45" s="96"/>
      <c r="Z45" s="96"/>
      <c r="AA45" s="96"/>
    </row>
    <row r="46" spans="1:27" x14ac:dyDescent="0.3">
      <c r="A46" s="104">
        <f t="shared" si="0"/>
        <v>140.655</v>
      </c>
      <c r="B46" s="105">
        <v>1687.8600000000001</v>
      </c>
      <c r="C46" s="105">
        <v>-5.2069568912407639E-2</v>
      </c>
      <c r="D46" s="105">
        <v>-1.4012103095691536E-4</v>
      </c>
      <c r="E46" s="105">
        <v>-8.7371186298025261E-2</v>
      </c>
      <c r="F46" s="105">
        <v>2.3503343592129166E-4</v>
      </c>
      <c r="G46" s="105">
        <v>-8.870708759686958E-4</v>
      </c>
      <c r="H46" s="105">
        <v>-8.0191507132750133E-8</v>
      </c>
      <c r="I46" s="105">
        <v>0.98424969043147814</v>
      </c>
      <c r="K46" s="104">
        <f>C46+SIN('Calculated Behavior'!$D$30)*('Calculated Behavior'!$D$23+'C.G. &amp; Ideal Lift'!$D$22)-'C.G. &amp; Ideal Lift'!$D$22*SIN(Graphs!G46)</f>
        <v>1.2608476349641107</v>
      </c>
      <c r="L46" s="104">
        <f>C46+SIN('Calculated Behavior'!$D$30)*('Calculated Behavior'!$D$23+'Girder Input'!$B$29)+('Girder Input'!$B$29-'C.G. &amp; Ideal Lift'!$D$22)*SIN(Graphs!G46)</f>
        <v>1.3795517370547019</v>
      </c>
      <c r="N46" s="104">
        <v>0</v>
      </c>
      <c r="O46" s="104">
        <f t="shared" si="1"/>
        <v>8.1668730249116681</v>
      </c>
      <c r="P46" s="104">
        <v>98.002476298940024</v>
      </c>
      <c r="Q46" s="104">
        <v>0.52298471523424783</v>
      </c>
      <c r="R46" s="96"/>
      <c r="S46" s="96"/>
      <c r="T46" s="96"/>
      <c r="U46" s="96"/>
      <c r="V46" s="96"/>
      <c r="W46" s="96"/>
      <c r="X46" s="96"/>
      <c r="Y46" s="96"/>
      <c r="Z46" s="96"/>
      <c r="AA46" s="96"/>
    </row>
    <row r="47" spans="1:27" x14ac:dyDescent="0.3">
      <c r="N47" s="104">
        <v>0</v>
      </c>
      <c r="O47" s="104">
        <f t="shared" si="1"/>
        <v>8.5583269750883328</v>
      </c>
      <c r="P47" s="104">
        <v>102.69992370105999</v>
      </c>
      <c r="Q47" s="104">
        <v>0.54623806093071625</v>
      </c>
      <c r="R47" s="96"/>
      <c r="Y47" s="88"/>
      <c r="Z47" s="88"/>
      <c r="AA47" s="88"/>
    </row>
    <row r="48" spans="1:27" x14ac:dyDescent="0.3">
      <c r="N48" s="104">
        <v>0</v>
      </c>
      <c r="O48" s="104">
        <f t="shared" si="1"/>
        <v>8.5585360400883328</v>
      </c>
      <c r="P48" s="104">
        <v>102.70243248105999</v>
      </c>
      <c r="Q48" s="104">
        <v>0.5462510819471158</v>
      </c>
      <c r="R48" s="96"/>
      <c r="Y48" s="88"/>
      <c r="Z48" s="88"/>
      <c r="AA48" s="88"/>
    </row>
    <row r="49" spans="14:27" x14ac:dyDescent="0.3">
      <c r="N49" s="104">
        <v>0</v>
      </c>
      <c r="O49" s="104">
        <f t="shared" si="1"/>
        <v>8.5589541700883327</v>
      </c>
      <c r="P49" s="104">
        <v>102.70745004105999</v>
      </c>
      <c r="Q49" s="104">
        <v>0.54627712595537858</v>
      </c>
      <c r="R49" s="96"/>
      <c r="Y49" s="88"/>
      <c r="Z49" s="88"/>
      <c r="AA49" s="88"/>
    </row>
    <row r="50" spans="14:27" x14ac:dyDescent="0.3">
      <c r="N50" s="104">
        <v>0</v>
      </c>
      <c r="O50" s="104">
        <f t="shared" si="1"/>
        <v>8.5591632350883327</v>
      </c>
      <c r="P50" s="104">
        <v>102.70995882105998</v>
      </c>
      <c r="Q50" s="104">
        <v>0.54629014893829997</v>
      </c>
      <c r="R50" s="96"/>
      <c r="Y50" s="88"/>
      <c r="Z50" s="88"/>
      <c r="AA50" s="88"/>
    </row>
    <row r="51" spans="14:27" x14ac:dyDescent="0.3">
      <c r="N51" s="104">
        <v>0</v>
      </c>
      <c r="O51" s="104">
        <f t="shared" si="1"/>
        <v>9.3270810068275534</v>
      </c>
      <c r="P51" s="104">
        <v>111.92497208193065</v>
      </c>
      <c r="Q51" s="104">
        <v>0.59868013000778086</v>
      </c>
      <c r="R51" s="96"/>
      <c r="Y51" s="88"/>
      <c r="Z51" s="88"/>
      <c r="AA51" s="88"/>
    </row>
    <row r="52" spans="14:27" x14ac:dyDescent="0.3">
      <c r="N52" s="104">
        <v>0</v>
      </c>
      <c r="O52" s="104">
        <f t="shared" si="1"/>
        <v>9.3272900718275533</v>
      </c>
      <c r="P52" s="104">
        <v>111.92748086193065</v>
      </c>
      <c r="Q52" s="104">
        <v>0.59869567261356127</v>
      </c>
      <c r="R52" s="96"/>
      <c r="Y52" s="88"/>
      <c r="Z52" s="88"/>
      <c r="AA52" s="88"/>
    </row>
    <row r="53" spans="14:27" x14ac:dyDescent="0.3">
      <c r="N53" s="104">
        <v>0</v>
      </c>
      <c r="O53" s="104">
        <f t="shared" si="1"/>
        <v>9.3277082018275532</v>
      </c>
      <c r="P53" s="104">
        <v>111.93249842193065</v>
      </c>
      <c r="Q53" s="104">
        <v>0.59872675996649238</v>
      </c>
      <c r="R53" s="96"/>
      <c r="Y53" s="88"/>
      <c r="Z53" s="88"/>
      <c r="AA53" s="88"/>
    </row>
    <row r="54" spans="14:27" x14ac:dyDescent="0.3">
      <c r="N54" s="104">
        <v>0</v>
      </c>
      <c r="O54" s="104">
        <f t="shared" si="1"/>
        <v>9.3279172668275532</v>
      </c>
      <c r="P54" s="104">
        <v>111.93500720193065</v>
      </c>
      <c r="Q54" s="104">
        <v>0.59874230471665524</v>
      </c>
      <c r="R54" s="96"/>
      <c r="Y54" s="88"/>
      <c r="Z54" s="88"/>
      <c r="AA54" s="88"/>
    </row>
    <row r="55" spans="14:27" x14ac:dyDescent="0.3">
      <c r="N55" s="104">
        <v>0</v>
      </c>
      <c r="O55" s="104">
        <f t="shared" si="1"/>
        <v>10.452831870000001</v>
      </c>
      <c r="P55" s="104">
        <v>125.43398244000001</v>
      </c>
      <c r="Q55" s="104">
        <v>0.69323226124776316</v>
      </c>
      <c r="R55" s="96"/>
      <c r="Y55" s="88"/>
      <c r="Z55" s="88"/>
      <c r="AA55" s="88"/>
    </row>
    <row r="56" spans="14:27" x14ac:dyDescent="0.3">
      <c r="N56" s="104">
        <v>0</v>
      </c>
      <c r="O56" s="104">
        <f t="shared" si="1"/>
        <v>10.453040935000001</v>
      </c>
      <c r="P56" s="104">
        <v>125.43649122000001</v>
      </c>
      <c r="Q56" s="104">
        <v>0.69325192270470626</v>
      </c>
      <c r="R56" s="96"/>
      <c r="Y56" s="88"/>
      <c r="Z56" s="88"/>
      <c r="AA56" s="88"/>
    </row>
    <row r="57" spans="14:27" x14ac:dyDescent="0.3">
      <c r="N57" s="104">
        <v>0</v>
      </c>
      <c r="O57" s="104">
        <f t="shared" si="1"/>
        <v>10.453459065000001</v>
      </c>
      <c r="P57" s="104">
        <v>125.44150878000001</v>
      </c>
      <c r="Q57" s="104">
        <v>0.69329124805033671</v>
      </c>
      <c r="R57" s="96"/>
      <c r="Y57" s="88"/>
      <c r="Z57" s="88"/>
      <c r="AA57" s="88"/>
    </row>
    <row r="58" spans="14:27" x14ac:dyDescent="0.3">
      <c r="N58" s="104">
        <v>0</v>
      </c>
      <c r="O58" s="104">
        <f t="shared" si="1"/>
        <v>10.453668130000001</v>
      </c>
      <c r="P58" s="104">
        <v>125.44401756000001</v>
      </c>
      <c r="Q58" s="104">
        <v>0.69331091193898675</v>
      </c>
      <c r="R58" s="96"/>
      <c r="Y58" s="88"/>
      <c r="Z58" s="88"/>
      <c r="AA58" s="88"/>
    </row>
    <row r="59" spans="14:27" x14ac:dyDescent="0.3">
      <c r="N59" s="104">
        <v>0</v>
      </c>
      <c r="O59" s="104">
        <f t="shared" si="1"/>
        <v>11.578582733172446</v>
      </c>
      <c r="P59" s="104">
        <v>138.94299279806935</v>
      </c>
      <c r="Q59" s="104">
        <v>0.81132691425943115</v>
      </c>
      <c r="R59" s="96"/>
      <c r="Y59" s="88"/>
      <c r="Z59" s="88"/>
      <c r="AA59" s="88"/>
    </row>
    <row r="60" spans="14:27" x14ac:dyDescent="0.3">
      <c r="N60" s="104">
        <v>0</v>
      </c>
      <c r="O60" s="104">
        <f t="shared" si="1"/>
        <v>11.578791798172446</v>
      </c>
      <c r="P60" s="104">
        <v>138.94550157806935</v>
      </c>
      <c r="Q60" s="104">
        <v>0.81135120120526649</v>
      </c>
      <c r="R60" s="96"/>
      <c r="Y60" s="88"/>
      <c r="Z60" s="88"/>
      <c r="AA60" s="88"/>
    </row>
    <row r="61" spans="14:27" x14ac:dyDescent="0.3">
      <c r="N61" s="104">
        <v>0</v>
      </c>
      <c r="O61" s="104">
        <f t="shared" si="1"/>
        <v>11.579209928172446</v>
      </c>
      <c r="P61" s="104">
        <v>138.95051913806935</v>
      </c>
      <c r="Q61" s="104">
        <v>0.8113997777788281</v>
      </c>
      <c r="R61" s="96"/>
      <c r="Y61" s="88"/>
      <c r="Z61" s="88"/>
      <c r="AA61" s="88"/>
    </row>
    <row r="62" spans="14:27" x14ac:dyDescent="0.3">
      <c r="N62" s="104">
        <v>0</v>
      </c>
      <c r="O62" s="104">
        <f t="shared" si="1"/>
        <v>11.579418993172446</v>
      </c>
      <c r="P62" s="104">
        <v>138.95302791806935</v>
      </c>
      <c r="Q62" s="104">
        <v>0.81142406743666207</v>
      </c>
      <c r="R62" s="96"/>
      <c r="Y62" s="88"/>
      <c r="Z62" s="88"/>
      <c r="AA62" s="88"/>
    </row>
    <row r="63" spans="14:27" x14ac:dyDescent="0.3">
      <c r="N63" s="104">
        <v>0</v>
      </c>
      <c r="O63" s="104">
        <f t="shared" si="1"/>
        <v>12.347336764911669</v>
      </c>
      <c r="P63" s="104">
        <v>148.16804117894003</v>
      </c>
      <c r="Q63" s="104">
        <v>0.90690097446942264</v>
      </c>
      <c r="R63" s="96"/>
      <c r="Y63" s="88"/>
      <c r="Z63" s="88"/>
      <c r="AA63" s="88"/>
    </row>
    <row r="64" spans="14:27" x14ac:dyDescent="0.3">
      <c r="N64" s="104">
        <v>0</v>
      </c>
      <c r="O64" s="104">
        <f t="shared" si="1"/>
        <v>12.347545829911668</v>
      </c>
      <c r="P64" s="104">
        <v>148.17054995894003</v>
      </c>
      <c r="Q64" s="104">
        <v>0.90692871117225238</v>
      </c>
      <c r="R64" s="96"/>
      <c r="Y64" s="88"/>
      <c r="Z64" s="88"/>
      <c r="AA64" s="88"/>
    </row>
    <row r="65" spans="14:27" x14ac:dyDescent="0.3">
      <c r="N65" s="104">
        <v>0</v>
      </c>
      <c r="O65" s="104">
        <f t="shared" si="1"/>
        <v>12.347963959911668</v>
      </c>
      <c r="P65" s="104">
        <v>148.17556751894003</v>
      </c>
      <c r="Q65" s="104">
        <v>0.90698418745647602</v>
      </c>
      <c r="R65" s="96"/>
      <c r="Y65" s="88"/>
      <c r="Z65" s="88"/>
      <c r="AA65" s="88"/>
    </row>
    <row r="66" spans="14:27" x14ac:dyDescent="0.3">
      <c r="N66" s="104">
        <v>0</v>
      </c>
      <c r="O66" s="104">
        <f t="shared" si="1"/>
        <v>12.348173024911668</v>
      </c>
      <c r="P66" s="104">
        <v>148.17807629894003</v>
      </c>
      <c r="Q66" s="104">
        <v>0.90701192706972589</v>
      </c>
      <c r="R66" s="96"/>
      <c r="Y66" s="88"/>
      <c r="Z66" s="88"/>
      <c r="AA66" s="88"/>
    </row>
    <row r="67" spans="14:27" x14ac:dyDescent="0.3">
      <c r="N67" s="104">
        <v>0</v>
      </c>
      <c r="O67" s="104">
        <f t="shared" si="1"/>
        <v>12.739626975088333</v>
      </c>
      <c r="P67" s="104">
        <v>152.87552370105999</v>
      </c>
      <c r="Q67" s="104">
        <v>0.96067265636367438</v>
      </c>
      <c r="R67" s="96"/>
      <c r="Y67" s="88"/>
      <c r="Z67" s="88"/>
      <c r="AA67" s="88"/>
    </row>
    <row r="68" spans="14:27" x14ac:dyDescent="0.3">
      <c r="N68" s="104">
        <v>0</v>
      </c>
      <c r="O68" s="104">
        <f t="shared" si="1"/>
        <v>12.739836040088333</v>
      </c>
      <c r="P68" s="104">
        <v>152.87803248105999</v>
      </c>
      <c r="Q68" s="104">
        <v>0.96070224448760555</v>
      </c>
      <c r="R68" s="96"/>
      <c r="Y68" s="88"/>
      <c r="Z68" s="88"/>
      <c r="AA68" s="88"/>
    </row>
    <row r="69" spans="14:27" x14ac:dyDescent="0.3">
      <c r="N69" s="104">
        <v>0</v>
      </c>
      <c r="O69" s="104">
        <f t="shared" si="1"/>
        <v>12.740254170088333</v>
      </c>
      <c r="P69" s="104">
        <v>152.88305004105999</v>
      </c>
      <c r="Q69" s="104">
        <v>0.96076142373656004</v>
      </c>
      <c r="R69" s="96"/>
      <c r="Y69" s="88"/>
      <c r="Z69" s="88"/>
      <c r="AA69" s="88"/>
    </row>
    <row r="70" spans="14:27" x14ac:dyDescent="0.3">
      <c r="N70" s="104">
        <v>0</v>
      </c>
      <c r="O70" s="104">
        <f t="shared" si="1"/>
        <v>12.740463235088333</v>
      </c>
      <c r="P70" s="104">
        <v>152.88555882105999</v>
      </c>
      <c r="Q70" s="104">
        <v>0.96079101486405305</v>
      </c>
      <c r="R70" s="96"/>
      <c r="Y70" s="88"/>
      <c r="Z70" s="88"/>
      <c r="AA70" s="88"/>
    </row>
    <row r="71" spans="14:27" x14ac:dyDescent="0.3">
      <c r="N71" s="104">
        <v>0</v>
      </c>
      <c r="O71" s="104">
        <f t="shared" ref="O71:O134" si="2">P71/12</f>
        <v>13.508381006827554</v>
      </c>
      <c r="P71" s="104">
        <v>162.10057208193064</v>
      </c>
      <c r="Q71" s="104">
        <v>1.0763955657291031</v>
      </c>
      <c r="R71" s="96"/>
      <c r="Y71" s="88"/>
      <c r="Z71" s="88"/>
      <c r="AA71" s="88"/>
    </row>
    <row r="72" spans="14:27" x14ac:dyDescent="0.3">
      <c r="N72" s="104">
        <v>0</v>
      </c>
      <c r="O72" s="104">
        <f t="shared" si="2"/>
        <v>13.508590071827554</v>
      </c>
      <c r="P72" s="104">
        <v>162.10308086193064</v>
      </c>
      <c r="Q72" s="104">
        <v>1.0764289604300108</v>
      </c>
      <c r="R72" s="96"/>
      <c r="Y72" s="88"/>
      <c r="Z72" s="88"/>
      <c r="AA72" s="88"/>
    </row>
    <row r="73" spans="14:27" x14ac:dyDescent="0.3">
      <c r="N73" s="104">
        <v>0</v>
      </c>
      <c r="O73" s="104">
        <f t="shared" si="2"/>
        <v>13.509008201827553</v>
      </c>
      <c r="P73" s="104">
        <v>162.10809842193063</v>
      </c>
      <c r="Q73" s="104">
        <v>1.0764957529969086</v>
      </c>
      <c r="R73" s="96"/>
      <c r="Y73" s="88"/>
      <c r="Z73" s="88"/>
      <c r="AA73" s="88"/>
    </row>
    <row r="74" spans="14:27" x14ac:dyDescent="0.3">
      <c r="N74" s="104">
        <v>0</v>
      </c>
      <c r="O74" s="104">
        <f t="shared" si="2"/>
        <v>13.509217266827553</v>
      </c>
      <c r="P74" s="104">
        <v>162.11060720193063</v>
      </c>
      <c r="Q74" s="104">
        <v>1.0765291508844101</v>
      </c>
      <c r="R74" s="96"/>
      <c r="Y74" s="88"/>
      <c r="Z74" s="88"/>
      <c r="AA74" s="88"/>
    </row>
    <row r="75" spans="14:27" x14ac:dyDescent="0.3">
      <c r="N75" s="104">
        <v>0</v>
      </c>
      <c r="O75" s="104">
        <f t="shared" si="2"/>
        <v>14.634131869999999</v>
      </c>
      <c r="P75" s="104">
        <v>175.60958244</v>
      </c>
      <c r="Q75" s="104">
        <v>1.2721409593370676</v>
      </c>
      <c r="R75" s="96"/>
      <c r="Y75" s="88"/>
      <c r="Z75" s="88"/>
      <c r="AA75" s="88"/>
    </row>
    <row r="76" spans="14:27" x14ac:dyDescent="0.3">
      <c r="N76" s="104">
        <v>0</v>
      </c>
      <c r="O76" s="104">
        <f t="shared" si="2"/>
        <v>14.634340934999999</v>
      </c>
      <c r="P76" s="104">
        <v>175.61209122</v>
      </c>
      <c r="Q76" s="104">
        <v>1.2721803545925694</v>
      </c>
      <c r="R76" s="96"/>
      <c r="Y76" s="88"/>
      <c r="Z76" s="88"/>
      <c r="AA76" s="88"/>
    </row>
    <row r="77" spans="14:27" x14ac:dyDescent="0.3">
      <c r="N77" s="104">
        <v>0</v>
      </c>
      <c r="O77" s="104">
        <f t="shared" si="2"/>
        <v>14.634759064999999</v>
      </c>
      <c r="P77" s="104">
        <v>175.61710878</v>
      </c>
      <c r="Q77" s="104">
        <v>1.2722591485745971</v>
      </c>
      <c r="R77" s="96"/>
      <c r="Y77" s="88"/>
      <c r="Z77" s="88"/>
      <c r="AA77" s="88"/>
    </row>
    <row r="78" spans="14:27" x14ac:dyDescent="0.3">
      <c r="N78" s="104">
        <v>0</v>
      </c>
      <c r="O78" s="104">
        <f t="shared" si="2"/>
        <v>14.634968129999999</v>
      </c>
      <c r="P78" s="104">
        <v>175.61961755999999</v>
      </c>
      <c r="Q78" s="104">
        <v>1.2722985472928725</v>
      </c>
      <c r="R78" s="96"/>
      <c r="Y78" s="88"/>
      <c r="Z78" s="88"/>
      <c r="AA78" s="88"/>
    </row>
    <row r="79" spans="14:27" x14ac:dyDescent="0.3">
      <c r="N79" s="104">
        <v>0</v>
      </c>
      <c r="O79" s="104">
        <f t="shared" si="2"/>
        <v>15.759882733172446</v>
      </c>
      <c r="P79" s="104">
        <v>189.11859279806936</v>
      </c>
      <c r="Q79" s="104">
        <v>1.5015612770099718</v>
      </c>
      <c r="R79" s="96"/>
      <c r="Y79" s="88"/>
      <c r="Z79" s="88"/>
      <c r="AA79" s="88"/>
    </row>
    <row r="80" spans="14:27" x14ac:dyDescent="0.3">
      <c r="N80" s="104">
        <v>0</v>
      </c>
      <c r="O80" s="104">
        <f t="shared" si="2"/>
        <v>15.760091798172446</v>
      </c>
      <c r="P80" s="104">
        <v>189.12110157806936</v>
      </c>
      <c r="Q80" s="104">
        <v>1.5016071794418566</v>
      </c>
      <c r="R80" s="96"/>
      <c r="Y80" s="88"/>
      <c r="Z80" s="88"/>
      <c r="AA80" s="88"/>
    </row>
    <row r="81" spans="14:27" x14ac:dyDescent="0.3">
      <c r="N81" s="104">
        <v>0</v>
      </c>
      <c r="O81" s="104">
        <f t="shared" si="2"/>
        <v>15.760509928172446</v>
      </c>
      <c r="P81" s="104">
        <v>189.12611913806936</v>
      </c>
      <c r="Q81" s="104">
        <v>1.5016989880635285</v>
      </c>
      <c r="R81" s="96"/>
      <c r="Y81" s="88"/>
      <c r="Z81" s="88"/>
      <c r="AA81" s="88"/>
    </row>
    <row r="82" spans="14:27" x14ac:dyDescent="0.3">
      <c r="N82" s="104">
        <v>0</v>
      </c>
      <c r="O82" s="104">
        <f t="shared" si="2"/>
        <v>15.760718993172446</v>
      </c>
      <c r="P82" s="104">
        <v>189.12862791806936</v>
      </c>
      <c r="Q82" s="104">
        <v>1.5017448942688614</v>
      </c>
      <c r="R82" s="96"/>
      <c r="Y82" s="88"/>
      <c r="Z82" s="88"/>
      <c r="AA82" s="88"/>
    </row>
    <row r="83" spans="14:27" x14ac:dyDescent="0.3">
      <c r="N83" s="104">
        <v>0</v>
      </c>
      <c r="O83" s="104">
        <f t="shared" si="2"/>
        <v>16.528636764911667</v>
      </c>
      <c r="P83" s="104">
        <v>198.34364117894</v>
      </c>
      <c r="Q83" s="104">
        <v>1.6789796385544595</v>
      </c>
      <c r="R83" s="96"/>
      <c r="Y83" s="88"/>
      <c r="Z83" s="88"/>
      <c r="AA83" s="88"/>
    </row>
    <row r="84" spans="14:27" x14ac:dyDescent="0.3">
      <c r="N84" s="104">
        <v>0</v>
      </c>
      <c r="O84" s="104">
        <f t="shared" si="2"/>
        <v>16.528845829911667</v>
      </c>
      <c r="P84" s="104">
        <v>198.34614995894</v>
      </c>
      <c r="Q84" s="104">
        <v>1.6790302757021138</v>
      </c>
      <c r="R84" s="96"/>
      <c r="Y84" s="88"/>
      <c r="Z84" s="88"/>
      <c r="AA84" s="88"/>
    </row>
    <row r="85" spans="14:27" x14ac:dyDescent="0.3">
      <c r="N85" s="104">
        <v>0</v>
      </c>
      <c r="O85" s="104">
        <f t="shared" si="2"/>
        <v>16.529263959911667</v>
      </c>
      <c r="P85" s="104">
        <v>198.35116751894</v>
      </c>
      <c r="Q85" s="104">
        <v>1.6791315539865888</v>
      </c>
      <c r="R85" s="96"/>
      <c r="Y85" s="88"/>
      <c r="Z85" s="88"/>
      <c r="AA85" s="88"/>
    </row>
    <row r="86" spans="14:27" x14ac:dyDescent="0.3">
      <c r="N86" s="104">
        <v>0</v>
      </c>
      <c r="O86" s="104">
        <f t="shared" si="2"/>
        <v>16.529473024911667</v>
      </c>
      <c r="P86" s="104">
        <v>198.35367629894</v>
      </c>
      <c r="Q86" s="104">
        <v>1.6791821951207191</v>
      </c>
      <c r="R86" s="96"/>
      <c r="Y86" s="88"/>
      <c r="Z86" s="88"/>
      <c r="AA86" s="88"/>
    </row>
    <row r="87" spans="14:27" x14ac:dyDescent="0.3">
      <c r="N87" s="104">
        <v>0</v>
      </c>
      <c r="O87" s="104">
        <f t="shared" si="2"/>
        <v>16.920926975088335</v>
      </c>
      <c r="P87" s="104">
        <v>203.05112370106002</v>
      </c>
      <c r="Q87" s="104">
        <v>1.7763366964238585</v>
      </c>
      <c r="R87" s="96"/>
      <c r="Y87" s="88"/>
      <c r="Z87" s="88"/>
      <c r="AA87" s="88"/>
    </row>
    <row r="88" spans="14:27" x14ac:dyDescent="0.3">
      <c r="N88" s="104">
        <v>0</v>
      </c>
      <c r="O88" s="104">
        <f t="shared" si="2"/>
        <v>16.921136040088335</v>
      </c>
      <c r="P88" s="104">
        <v>203.05363248106002</v>
      </c>
      <c r="Q88" s="104">
        <v>1.7763898407182659</v>
      </c>
      <c r="R88" s="96"/>
      <c r="Y88" s="88"/>
      <c r="Z88" s="88"/>
      <c r="AA88" s="88"/>
    </row>
    <row r="89" spans="14:27" x14ac:dyDescent="0.3">
      <c r="N89" s="104">
        <v>0</v>
      </c>
      <c r="O89" s="104">
        <f t="shared" si="2"/>
        <v>16.921554170088335</v>
      </c>
      <c r="P89" s="104">
        <v>203.05865004106002</v>
      </c>
      <c r="Q89" s="104">
        <v>1.7764961333849967</v>
      </c>
      <c r="R89" s="96"/>
      <c r="Y89" s="88"/>
      <c r="Z89" s="88"/>
      <c r="AA89" s="88"/>
    </row>
    <row r="90" spans="14:27" x14ac:dyDescent="0.3">
      <c r="N90" s="104">
        <v>0</v>
      </c>
      <c r="O90" s="104">
        <f t="shared" si="2"/>
        <v>16.921763235088335</v>
      </c>
      <c r="P90" s="104">
        <v>203.06115882106002</v>
      </c>
      <c r="Q90" s="104">
        <v>1.7765492817395723</v>
      </c>
      <c r="R90" s="96"/>
      <c r="Y90" s="88"/>
      <c r="Z90" s="88"/>
      <c r="AA90" s="88"/>
    </row>
    <row r="91" spans="14:27" x14ac:dyDescent="0.3">
      <c r="N91" s="104">
        <v>0</v>
      </c>
      <c r="O91" s="104">
        <f t="shared" si="2"/>
        <v>17.689681006827556</v>
      </c>
      <c r="P91" s="104">
        <v>212.27617208193067</v>
      </c>
      <c r="Q91" s="104">
        <v>1.9810400229223257</v>
      </c>
      <c r="R91" s="96"/>
      <c r="Y91" s="88"/>
      <c r="Z91" s="88"/>
      <c r="AA91" s="88"/>
    </row>
    <row r="92" spans="14:27" x14ac:dyDescent="0.3">
      <c r="N92" s="104">
        <v>0</v>
      </c>
      <c r="O92" s="104">
        <f t="shared" si="2"/>
        <v>17.689890071827556</v>
      </c>
      <c r="P92" s="104">
        <v>212.27868086193067</v>
      </c>
      <c r="Q92" s="104">
        <v>1.9810982587656676</v>
      </c>
      <c r="R92" s="96"/>
      <c r="Y92" s="88"/>
      <c r="Z92" s="88"/>
      <c r="AA92" s="88"/>
    </row>
    <row r="93" spans="14:27" x14ac:dyDescent="0.3">
      <c r="N93" s="104">
        <v>0</v>
      </c>
      <c r="O93" s="104">
        <f t="shared" si="2"/>
        <v>17.690308201827555</v>
      </c>
      <c r="P93" s="104">
        <v>212.28369842193067</v>
      </c>
      <c r="Q93" s="104">
        <v>1.9812147347053763</v>
      </c>
      <c r="R93" s="96"/>
      <c r="Y93" s="88"/>
      <c r="Z93" s="88"/>
      <c r="AA93" s="88"/>
    </row>
    <row r="94" spans="14:27" x14ac:dyDescent="0.3">
      <c r="N94" s="104">
        <v>0</v>
      </c>
      <c r="O94" s="104">
        <f t="shared" si="2"/>
        <v>17.690517266827555</v>
      </c>
      <c r="P94" s="104">
        <v>212.28620720193067</v>
      </c>
      <c r="Q94" s="104">
        <v>1.9812729748067777</v>
      </c>
      <c r="R94" s="96"/>
      <c r="Y94" s="88"/>
      <c r="Z94" s="88"/>
      <c r="AA94" s="88"/>
    </row>
    <row r="95" spans="14:27" x14ac:dyDescent="0.3">
      <c r="N95" s="104">
        <v>0</v>
      </c>
      <c r="O95" s="104">
        <f t="shared" si="2"/>
        <v>18.815431870000001</v>
      </c>
      <c r="P95" s="104">
        <v>225.78518244000003</v>
      </c>
      <c r="Q95" s="104">
        <v>2.3156126358379381</v>
      </c>
      <c r="R95" s="96"/>
      <c r="Y95" s="88"/>
      <c r="Z95" s="88"/>
      <c r="AA95" s="88"/>
    </row>
    <row r="96" spans="14:27" x14ac:dyDescent="0.3">
      <c r="N96" s="104">
        <v>0</v>
      </c>
      <c r="O96" s="104">
        <f t="shared" si="2"/>
        <v>18.815640935000001</v>
      </c>
      <c r="P96" s="104">
        <v>225.78769122000003</v>
      </c>
      <c r="Q96" s="104">
        <v>2.3156787539194461</v>
      </c>
      <c r="R96" s="96"/>
      <c r="Y96" s="88"/>
      <c r="Z96" s="88"/>
      <c r="AA96" s="88"/>
    </row>
    <row r="97" spans="14:27" x14ac:dyDescent="0.3">
      <c r="N97" s="104">
        <v>0</v>
      </c>
      <c r="O97" s="104">
        <f t="shared" si="2"/>
        <v>18.816059065000001</v>
      </c>
      <c r="P97" s="104">
        <v>225.79270878000003</v>
      </c>
      <c r="Q97" s="104">
        <v>2.3158109946400867</v>
      </c>
      <c r="R97" s="96"/>
      <c r="Y97" s="88"/>
      <c r="Z97" s="88"/>
      <c r="AA97" s="88"/>
    </row>
    <row r="98" spans="14:27" x14ac:dyDescent="0.3">
      <c r="N98" s="104">
        <v>0</v>
      </c>
      <c r="O98" s="104">
        <f t="shared" si="2"/>
        <v>18.816268130000001</v>
      </c>
      <c r="P98" s="104">
        <v>225.79521756000003</v>
      </c>
      <c r="Q98" s="104">
        <v>2.3158771172940633</v>
      </c>
      <c r="R98" s="96"/>
      <c r="Y98" s="88"/>
      <c r="Z98" s="88"/>
      <c r="AA98" s="88"/>
    </row>
    <row r="99" spans="14:27" x14ac:dyDescent="0.3">
      <c r="N99" s="104">
        <v>0</v>
      </c>
      <c r="O99" s="104">
        <f t="shared" si="2"/>
        <v>19.94118273317245</v>
      </c>
      <c r="P99" s="104">
        <v>239.29419279806939</v>
      </c>
      <c r="Q99" s="104">
        <v>2.6939924673067632</v>
      </c>
      <c r="R99" s="96"/>
      <c r="Y99" s="88"/>
      <c r="Z99" s="88"/>
      <c r="AA99" s="88"/>
    </row>
    <row r="100" spans="14:27" x14ac:dyDescent="0.3">
      <c r="N100" s="104">
        <v>0</v>
      </c>
      <c r="O100" s="104">
        <f t="shared" si="2"/>
        <v>19.94139179817245</v>
      </c>
      <c r="P100" s="104">
        <v>239.29670157806939</v>
      </c>
      <c r="Q100" s="104">
        <v>2.6940669742644134</v>
      </c>
      <c r="R100" s="96"/>
      <c r="Y100" s="88"/>
      <c r="Z100" s="88"/>
      <c r="AA100" s="88"/>
    </row>
    <row r="101" spans="14:27" x14ac:dyDescent="0.3">
      <c r="N101" s="104">
        <v>0</v>
      </c>
      <c r="O101" s="104">
        <f t="shared" si="2"/>
        <v>19.94180992817245</v>
      </c>
      <c r="P101" s="104">
        <v>239.30171913806939</v>
      </c>
      <c r="Q101" s="104">
        <v>2.6942159929819498</v>
      </c>
      <c r="R101" s="96"/>
      <c r="Y101" s="88"/>
      <c r="Z101" s="88"/>
      <c r="AA101" s="88"/>
    </row>
    <row r="102" spans="14:27" x14ac:dyDescent="0.3">
      <c r="N102" s="104">
        <v>0</v>
      </c>
      <c r="O102" s="104">
        <f t="shared" si="2"/>
        <v>19.94201899317245</v>
      </c>
      <c r="P102" s="104">
        <v>239.30422791806939</v>
      </c>
      <c r="Q102" s="104">
        <v>2.6942905047411698</v>
      </c>
      <c r="R102" s="96"/>
      <c r="Y102" s="88"/>
      <c r="Z102" s="88"/>
      <c r="AA102" s="88"/>
    </row>
    <row r="103" spans="14:27" x14ac:dyDescent="0.3">
      <c r="N103" s="104">
        <v>0</v>
      </c>
      <c r="O103" s="104">
        <f t="shared" si="2"/>
        <v>20.709936764911671</v>
      </c>
      <c r="P103" s="104">
        <v>248.51924117894004</v>
      </c>
      <c r="Q103" s="104">
        <v>2.978954509547604</v>
      </c>
      <c r="R103" s="96"/>
      <c r="Y103" s="88"/>
      <c r="Z103" s="88"/>
      <c r="AA103" s="88"/>
    </row>
    <row r="104" spans="14:27" x14ac:dyDescent="0.3">
      <c r="N104" s="104">
        <v>0</v>
      </c>
      <c r="O104" s="104">
        <f t="shared" si="2"/>
        <v>20.710145829911671</v>
      </c>
      <c r="P104" s="104">
        <v>248.52174995894003</v>
      </c>
      <c r="Q104" s="104">
        <v>2.9790350362132054</v>
      </c>
      <c r="R104" s="96"/>
      <c r="Y104" s="88"/>
      <c r="Z104" s="88"/>
      <c r="AA104" s="88"/>
    </row>
    <row r="105" spans="14:27" x14ac:dyDescent="0.3">
      <c r="N105" s="104">
        <v>0</v>
      </c>
      <c r="O105" s="104">
        <f t="shared" si="2"/>
        <v>20.710563959911671</v>
      </c>
      <c r="P105" s="104">
        <v>248.52676751894003</v>
      </c>
      <c r="Q105" s="104">
        <v>2.9791960945205704</v>
      </c>
      <c r="R105" s="96"/>
      <c r="Y105" s="88"/>
      <c r="Z105" s="88"/>
      <c r="AA105" s="88"/>
    </row>
    <row r="106" spans="14:27" x14ac:dyDescent="0.3">
      <c r="N106" s="104">
        <v>0</v>
      </c>
      <c r="O106" s="104">
        <f t="shared" si="2"/>
        <v>20.710773024911671</v>
      </c>
      <c r="P106" s="104">
        <v>248.52927629894003</v>
      </c>
      <c r="Q106" s="104">
        <v>2.9792766261442929</v>
      </c>
      <c r="R106" s="96"/>
      <c r="Y106" s="88"/>
      <c r="Z106" s="88"/>
      <c r="AA106" s="88"/>
    </row>
    <row r="107" spans="14:27" x14ac:dyDescent="0.3">
      <c r="N107" s="104">
        <v>0</v>
      </c>
      <c r="O107" s="104">
        <f t="shared" si="2"/>
        <v>21.102226975088332</v>
      </c>
      <c r="P107" s="104">
        <v>253.22672370106</v>
      </c>
      <c r="Q107" s="104">
        <v>3.1330111486128853</v>
      </c>
      <c r="R107" s="96"/>
      <c r="Y107" s="88"/>
      <c r="Z107" s="88"/>
      <c r="AA107" s="88"/>
    </row>
    <row r="108" spans="14:27" x14ac:dyDescent="0.3">
      <c r="N108" s="104">
        <v>0</v>
      </c>
      <c r="O108" s="104">
        <f t="shared" si="2"/>
        <v>21.102436040088332</v>
      </c>
      <c r="P108" s="104">
        <v>253.22923248106</v>
      </c>
      <c r="Q108" s="104">
        <v>3.1330948380965782</v>
      </c>
      <c r="R108" s="96"/>
      <c r="Y108" s="88"/>
      <c r="Z108" s="88"/>
      <c r="AA108" s="88"/>
    </row>
    <row r="109" spans="14:27" x14ac:dyDescent="0.3">
      <c r="N109" s="104">
        <v>0</v>
      </c>
      <c r="O109" s="104">
        <f t="shared" si="2"/>
        <v>21.102854170088332</v>
      </c>
      <c r="P109" s="104">
        <v>253.23425004105999</v>
      </c>
      <c r="Q109" s="104">
        <v>3.1332622221740807</v>
      </c>
      <c r="R109" s="96"/>
      <c r="Y109" s="88"/>
      <c r="Z109" s="88"/>
      <c r="AA109" s="88"/>
    </row>
    <row r="110" spans="14:27" x14ac:dyDescent="0.3">
      <c r="N110" s="104">
        <v>0</v>
      </c>
      <c r="O110" s="104">
        <f t="shared" si="2"/>
        <v>21.103063235088332</v>
      </c>
      <c r="P110" s="104">
        <v>253.23675882105999</v>
      </c>
      <c r="Q110" s="104">
        <v>3.1333459168009958</v>
      </c>
      <c r="R110" s="96"/>
      <c r="Y110" s="88"/>
      <c r="Z110" s="88"/>
      <c r="AA110" s="88"/>
    </row>
    <row r="111" spans="14:27" x14ac:dyDescent="0.3">
      <c r="N111" s="104">
        <v>0</v>
      </c>
      <c r="O111" s="104">
        <f t="shared" si="2"/>
        <v>21.870981006827552</v>
      </c>
      <c r="P111" s="104">
        <v>262.45177208193064</v>
      </c>
      <c r="Q111" s="104">
        <v>3.4523941842198793</v>
      </c>
      <c r="R111" s="96"/>
      <c r="Y111" s="88"/>
      <c r="Z111" s="88"/>
      <c r="AA111" s="88"/>
    </row>
    <row r="112" spans="14:27" x14ac:dyDescent="0.3">
      <c r="N112" s="104">
        <v>0</v>
      </c>
      <c r="O112" s="104">
        <f t="shared" si="2"/>
        <v>21.871190071827552</v>
      </c>
      <c r="P112" s="104">
        <v>262.45428086193061</v>
      </c>
      <c r="Q112" s="104">
        <v>3.4524842502004334</v>
      </c>
      <c r="R112" s="96"/>
      <c r="Y112" s="88"/>
      <c r="Z112" s="88"/>
      <c r="AA112" s="88"/>
    </row>
    <row r="113" spans="14:27" x14ac:dyDescent="0.3">
      <c r="N113" s="104">
        <v>0</v>
      </c>
      <c r="O113" s="104">
        <f t="shared" si="2"/>
        <v>21.871608201827556</v>
      </c>
      <c r="P113" s="104">
        <v>262.45929842193067</v>
      </c>
      <c r="Q113" s="104">
        <v>3.4526643874785234</v>
      </c>
      <c r="R113" s="96"/>
      <c r="Y113" s="88"/>
      <c r="Z113" s="88"/>
      <c r="AA113" s="88"/>
    </row>
    <row r="114" spans="14:27" x14ac:dyDescent="0.3">
      <c r="N114" s="104">
        <v>0</v>
      </c>
      <c r="O114" s="104">
        <f t="shared" si="2"/>
        <v>21.871817266827552</v>
      </c>
      <c r="P114" s="104">
        <v>262.46180720193064</v>
      </c>
      <c r="Q114" s="104">
        <v>3.4527544587671111</v>
      </c>
      <c r="R114" s="96"/>
      <c r="Y114" s="88"/>
      <c r="Z114" s="88"/>
      <c r="AA114" s="88"/>
    </row>
    <row r="115" spans="14:27" x14ac:dyDescent="0.3">
      <c r="N115" s="104">
        <v>0</v>
      </c>
      <c r="O115" s="104">
        <f t="shared" si="2"/>
        <v>22.996731870000001</v>
      </c>
      <c r="P115" s="104">
        <v>275.96078244</v>
      </c>
      <c r="Q115" s="104">
        <v>3.9634275290117547</v>
      </c>
      <c r="R115" s="96"/>
      <c r="Y115" s="88"/>
      <c r="Z115" s="88"/>
      <c r="AA115" s="88"/>
    </row>
    <row r="116" spans="14:27" x14ac:dyDescent="0.3">
      <c r="N116" s="104">
        <v>0</v>
      </c>
      <c r="O116" s="104">
        <f t="shared" si="2"/>
        <v>22.996940934999998</v>
      </c>
      <c r="P116" s="104">
        <v>275.96329121999997</v>
      </c>
      <c r="Q116" s="104">
        <v>3.9635273588894471</v>
      </c>
      <c r="R116" s="96"/>
      <c r="Y116" s="88"/>
      <c r="Z116" s="88"/>
      <c r="AA116" s="88"/>
    </row>
    <row r="117" spans="14:27" x14ac:dyDescent="0.3">
      <c r="N117" s="104">
        <v>0</v>
      </c>
      <c r="O117" s="104">
        <f t="shared" si="2"/>
        <v>22.997359065000001</v>
      </c>
      <c r="P117" s="104">
        <v>275.96830878000003</v>
      </c>
      <c r="Q117" s="104">
        <v>3.9637270242941818</v>
      </c>
      <c r="R117" s="96"/>
      <c r="Y117" s="88"/>
      <c r="Z117" s="88"/>
      <c r="AA117" s="88"/>
    </row>
    <row r="118" spans="14:27" x14ac:dyDescent="0.3">
      <c r="N118" s="104">
        <v>0</v>
      </c>
      <c r="O118" s="104">
        <f t="shared" si="2"/>
        <v>22.997568130000001</v>
      </c>
      <c r="P118" s="104">
        <v>275.97081756</v>
      </c>
      <c r="Q118" s="104">
        <v>3.9638268597584441</v>
      </c>
      <c r="R118" s="96"/>
      <c r="Y118" s="88"/>
      <c r="Z118" s="88"/>
      <c r="AA118" s="88"/>
    </row>
    <row r="119" spans="14:27" x14ac:dyDescent="0.3">
      <c r="N119" s="104">
        <v>0</v>
      </c>
      <c r="O119" s="104">
        <f t="shared" si="2"/>
        <v>24.122482733172447</v>
      </c>
      <c r="P119" s="104">
        <v>289.46979279806936</v>
      </c>
      <c r="Q119" s="104">
        <v>4.5284002466246971</v>
      </c>
      <c r="R119" s="96"/>
      <c r="Y119" s="88"/>
      <c r="Z119" s="88"/>
      <c r="AA119" s="88"/>
    </row>
    <row r="120" spans="14:27" x14ac:dyDescent="0.3">
      <c r="N120" s="104">
        <v>0</v>
      </c>
      <c r="O120" s="104">
        <f t="shared" si="2"/>
        <v>24.122691798172443</v>
      </c>
      <c r="P120" s="104">
        <v>289.47230157806933</v>
      </c>
      <c r="Q120" s="104">
        <v>4.5285103470056383</v>
      </c>
      <c r="R120" s="96"/>
      <c r="Y120" s="88"/>
      <c r="Z120" s="88"/>
      <c r="AA120" s="88"/>
    </row>
    <row r="121" spans="14:27" x14ac:dyDescent="0.3">
      <c r="N121" s="104">
        <v>0</v>
      </c>
      <c r="O121" s="104">
        <f t="shared" si="2"/>
        <v>24.12310992817245</v>
      </c>
      <c r="P121" s="104">
        <v>289.47731913806939</v>
      </c>
      <c r="Q121" s="104">
        <v>4.5287305536766986</v>
      </c>
      <c r="R121" s="96"/>
      <c r="Y121" s="88"/>
      <c r="Z121" s="88"/>
      <c r="AA121" s="88"/>
    </row>
    <row r="122" spans="14:27" x14ac:dyDescent="0.3">
      <c r="N122" s="104">
        <v>0</v>
      </c>
      <c r="O122" s="104">
        <f t="shared" si="2"/>
        <v>24.123318993172447</v>
      </c>
      <c r="P122" s="104">
        <v>289.47982791806936</v>
      </c>
      <c r="Q122" s="104">
        <v>4.5288406599984219</v>
      </c>
      <c r="R122" s="96"/>
      <c r="Y122" s="88"/>
      <c r="Z122" s="88"/>
      <c r="AA122" s="88"/>
    </row>
    <row r="123" spans="14:27" x14ac:dyDescent="0.3">
      <c r="N123" s="104">
        <v>0</v>
      </c>
      <c r="O123" s="104">
        <f t="shared" si="2"/>
        <v>24.891236764911667</v>
      </c>
      <c r="P123" s="104">
        <v>298.69484117894001</v>
      </c>
      <c r="Q123" s="104">
        <v>4.9466050045784762</v>
      </c>
      <c r="R123" s="96"/>
      <c r="Y123" s="88"/>
      <c r="Z123" s="88"/>
      <c r="AA123" s="88"/>
    </row>
    <row r="124" spans="14:27" x14ac:dyDescent="0.3">
      <c r="N124" s="104">
        <v>0</v>
      </c>
      <c r="O124" s="104">
        <f t="shared" si="2"/>
        <v>24.891445829911664</v>
      </c>
      <c r="P124" s="104">
        <v>298.69734995893998</v>
      </c>
      <c r="Q124" s="104">
        <v>4.9467224096217244</v>
      </c>
      <c r="R124" s="96"/>
      <c r="Y124" s="88"/>
      <c r="Z124" s="88"/>
      <c r="AA124" s="88"/>
    </row>
    <row r="125" spans="14:27" x14ac:dyDescent="0.3">
      <c r="N125" s="104">
        <v>0</v>
      </c>
      <c r="O125" s="104">
        <f t="shared" si="2"/>
        <v>24.891863959911671</v>
      </c>
      <c r="P125" s="104">
        <v>298.70236751894004</v>
      </c>
      <c r="Q125" s="104">
        <v>4.9469572257900616</v>
      </c>
      <c r="R125" s="96"/>
      <c r="Y125" s="88"/>
      <c r="Z125" s="88"/>
      <c r="AA125" s="88"/>
    </row>
    <row r="126" spans="14:27" x14ac:dyDescent="0.3">
      <c r="N126" s="104">
        <v>0</v>
      </c>
      <c r="O126" s="104">
        <f t="shared" si="2"/>
        <v>24.892073024911667</v>
      </c>
      <c r="P126" s="104">
        <v>298.70487629894001</v>
      </c>
      <c r="Q126" s="104">
        <v>4.9470746368955894</v>
      </c>
      <c r="R126" s="96"/>
      <c r="Y126" s="88"/>
      <c r="Z126" s="88"/>
      <c r="AA126" s="88"/>
    </row>
    <row r="127" spans="14:27" x14ac:dyDescent="0.3">
      <c r="N127" s="104">
        <v>0</v>
      </c>
      <c r="O127" s="104">
        <f t="shared" si="2"/>
        <v>25.283526975088332</v>
      </c>
      <c r="P127" s="104">
        <v>303.40232370105997</v>
      </c>
      <c r="Q127" s="104">
        <v>5.1704752485045251</v>
      </c>
      <c r="R127" s="96"/>
      <c r="Y127" s="88"/>
      <c r="Z127" s="88"/>
      <c r="AA127" s="88"/>
    </row>
    <row r="128" spans="14:27" x14ac:dyDescent="0.3">
      <c r="N128" s="104">
        <v>0</v>
      </c>
      <c r="O128" s="104">
        <f t="shared" si="2"/>
        <v>25.283736040088328</v>
      </c>
      <c r="P128" s="104">
        <v>303.40483248105994</v>
      </c>
      <c r="Q128" s="104">
        <v>5.1705964721335178</v>
      </c>
      <c r="R128" s="96"/>
      <c r="Y128" s="88"/>
      <c r="Z128" s="88"/>
      <c r="AA128" s="88"/>
    </row>
    <row r="129" spans="14:27" x14ac:dyDescent="0.3">
      <c r="N129" s="104">
        <v>0</v>
      </c>
      <c r="O129" s="104">
        <f t="shared" si="2"/>
        <v>25.284154170088332</v>
      </c>
      <c r="P129" s="104">
        <v>303.40985004106</v>
      </c>
      <c r="Q129" s="104">
        <v>5.1708389254884262</v>
      </c>
      <c r="R129" s="96"/>
      <c r="Y129" s="88"/>
      <c r="Z129" s="88"/>
      <c r="AA129" s="88"/>
    </row>
    <row r="130" spans="14:27" x14ac:dyDescent="0.3">
      <c r="N130" s="104">
        <v>0</v>
      </c>
      <c r="O130" s="104">
        <f t="shared" si="2"/>
        <v>25.284363235088332</v>
      </c>
      <c r="P130" s="104">
        <v>303.41235882105997</v>
      </c>
      <c r="Q130" s="104">
        <v>5.1709601552386451</v>
      </c>
      <c r="R130" s="96"/>
      <c r="Y130" s="88"/>
      <c r="Z130" s="88"/>
      <c r="AA130" s="88"/>
    </row>
    <row r="131" spans="14:27" x14ac:dyDescent="0.3">
      <c r="N131" s="104">
        <v>0</v>
      </c>
      <c r="O131" s="104">
        <f t="shared" si="2"/>
        <v>26.052281006827553</v>
      </c>
      <c r="P131" s="104">
        <v>312.62737208193062</v>
      </c>
      <c r="Q131" s="104">
        <v>5.6302369181955534</v>
      </c>
      <c r="R131" s="96"/>
      <c r="Y131" s="88"/>
      <c r="Z131" s="88"/>
      <c r="AA131" s="88"/>
    </row>
    <row r="132" spans="14:27" x14ac:dyDescent="0.3">
      <c r="N132" s="104">
        <v>0</v>
      </c>
      <c r="O132" s="104">
        <f t="shared" si="2"/>
        <v>26.052490071827549</v>
      </c>
      <c r="P132" s="104">
        <v>312.62988086193059</v>
      </c>
      <c r="Q132" s="104">
        <v>5.6303658032459527</v>
      </c>
      <c r="R132" s="96"/>
      <c r="Y132" s="88"/>
      <c r="Z132" s="88"/>
      <c r="AA132" s="88"/>
    </row>
    <row r="133" spans="14:27" x14ac:dyDescent="0.3">
      <c r="N133" s="104">
        <v>0</v>
      </c>
      <c r="O133" s="104">
        <f t="shared" si="2"/>
        <v>26.052908201827552</v>
      </c>
      <c r="P133" s="104">
        <v>312.63489842193064</v>
      </c>
      <c r="Q133" s="104">
        <v>5.6306235796294359</v>
      </c>
      <c r="R133" s="96"/>
      <c r="Y133" s="88"/>
      <c r="Z133" s="88"/>
      <c r="AA133" s="88"/>
    </row>
    <row r="134" spans="14:27" x14ac:dyDescent="0.3">
      <c r="N134" s="104">
        <v>0</v>
      </c>
      <c r="O134" s="104">
        <f t="shared" si="2"/>
        <v>26.053117266827552</v>
      </c>
      <c r="P134" s="104">
        <v>312.63740720193061</v>
      </c>
      <c r="Q134" s="104">
        <v>5.6307524710384875</v>
      </c>
      <c r="R134" s="96"/>
      <c r="Y134" s="88"/>
      <c r="Z134" s="88"/>
      <c r="AA134" s="88"/>
    </row>
    <row r="135" spans="14:27" x14ac:dyDescent="0.3">
      <c r="N135" s="104">
        <v>0</v>
      </c>
      <c r="O135" s="104">
        <f t="shared" ref="O135:O198" si="3">P135/12</f>
        <v>27.178031869999998</v>
      </c>
      <c r="P135" s="104">
        <v>326.13638243999998</v>
      </c>
      <c r="Q135" s="104">
        <v>6.355363942424173</v>
      </c>
      <c r="R135" s="96"/>
      <c r="Y135" s="88"/>
      <c r="Z135" s="88"/>
      <c r="AA135" s="88"/>
    </row>
    <row r="136" spans="14:27" x14ac:dyDescent="0.3">
      <c r="N136" s="104">
        <v>0</v>
      </c>
      <c r="O136" s="104">
        <f t="shared" si="3"/>
        <v>27.178240934999994</v>
      </c>
      <c r="P136" s="104">
        <v>326.13889121999995</v>
      </c>
      <c r="Q136" s="104">
        <v>6.3555044730129868</v>
      </c>
      <c r="R136" s="96"/>
      <c r="Y136" s="88"/>
      <c r="Z136" s="88"/>
      <c r="AA136" s="88"/>
    </row>
    <row r="137" spans="14:27" x14ac:dyDescent="0.3">
      <c r="N137" s="104">
        <v>0</v>
      </c>
      <c r="O137" s="104">
        <f t="shared" si="3"/>
        <v>27.178659065000002</v>
      </c>
      <c r="P137" s="104">
        <v>326.14390878</v>
      </c>
      <c r="Q137" s="104">
        <v>6.3557855407596735</v>
      </c>
      <c r="R137" s="96"/>
      <c r="Y137" s="88"/>
      <c r="Z137" s="88"/>
      <c r="AA137" s="88"/>
    </row>
    <row r="138" spans="14:27" x14ac:dyDescent="0.3">
      <c r="N138" s="104">
        <v>0</v>
      </c>
      <c r="O138" s="104">
        <f t="shared" si="3"/>
        <v>27.178868129999998</v>
      </c>
      <c r="P138" s="104">
        <v>326.14641755999997</v>
      </c>
      <c r="Q138" s="104">
        <v>6.3559260780118016</v>
      </c>
      <c r="R138" s="96"/>
      <c r="Y138" s="88"/>
      <c r="Z138" s="88"/>
      <c r="AA138" s="88"/>
    </row>
    <row r="139" spans="14:27" x14ac:dyDescent="0.3">
      <c r="N139" s="104">
        <v>0</v>
      </c>
      <c r="O139" s="104">
        <f t="shared" si="3"/>
        <v>28.303782733172444</v>
      </c>
      <c r="P139" s="104">
        <v>339.64539279806934</v>
      </c>
      <c r="Q139" s="104">
        <v>7.1445623211268412</v>
      </c>
      <c r="R139" s="96"/>
      <c r="Y139" s="88"/>
      <c r="Z139" s="88"/>
      <c r="AA139" s="88"/>
    </row>
    <row r="140" spans="14:27" x14ac:dyDescent="0.3">
      <c r="N140" s="104">
        <v>0</v>
      </c>
      <c r="O140" s="104">
        <f t="shared" si="3"/>
        <v>28.303991798172444</v>
      </c>
      <c r="P140" s="104">
        <v>339.64790157806931</v>
      </c>
      <c r="Q140" s="104">
        <v>7.1447150038724834</v>
      </c>
      <c r="R140" s="96"/>
      <c r="Y140" s="88"/>
      <c r="Z140" s="88"/>
      <c r="AA140" s="88"/>
    </row>
    <row r="141" spans="14:27" x14ac:dyDescent="0.3">
      <c r="N141" s="104">
        <v>0</v>
      </c>
      <c r="O141" s="104">
        <f t="shared" si="3"/>
        <v>28.304409928172447</v>
      </c>
      <c r="P141" s="104">
        <v>339.65291913806936</v>
      </c>
      <c r="Q141" s="104">
        <v>7.1450203761604421</v>
      </c>
      <c r="R141" s="96"/>
      <c r="Y141" s="88"/>
      <c r="Z141" s="88"/>
      <c r="AA141" s="88"/>
    </row>
    <row r="142" spans="14:27" x14ac:dyDescent="0.3">
      <c r="N142" s="104">
        <v>0</v>
      </c>
      <c r="O142" s="104">
        <f t="shared" si="3"/>
        <v>28.304618993172443</v>
      </c>
      <c r="P142" s="104">
        <v>339.65542791806934</v>
      </c>
      <c r="Q142" s="104">
        <v>7.1451730658252224</v>
      </c>
      <c r="R142" s="96"/>
      <c r="Y142" s="88"/>
      <c r="Z142" s="88"/>
      <c r="AA142" s="88"/>
    </row>
    <row r="143" spans="14:27" x14ac:dyDescent="0.3">
      <c r="N143" s="104">
        <v>0</v>
      </c>
      <c r="O143" s="104">
        <f t="shared" si="3"/>
        <v>29.072536764911664</v>
      </c>
      <c r="P143" s="104">
        <v>348.87044117893998</v>
      </c>
      <c r="Q143" s="104">
        <v>7.7217084034161116</v>
      </c>
      <c r="R143" s="96"/>
      <c r="Y143" s="88"/>
      <c r="Z143" s="88"/>
      <c r="AA143" s="88"/>
    </row>
    <row r="144" spans="14:27" x14ac:dyDescent="0.3">
      <c r="N144" s="104">
        <v>0</v>
      </c>
      <c r="O144" s="104">
        <f t="shared" si="3"/>
        <v>29.072745829911664</v>
      </c>
      <c r="P144" s="104">
        <v>348.87294995893996</v>
      </c>
      <c r="Q144" s="104">
        <v>7.7218696756533269</v>
      </c>
      <c r="R144" s="96"/>
      <c r="Y144" s="88"/>
      <c r="Z144" s="88"/>
      <c r="AA144" s="88"/>
    </row>
    <row r="145" spans="14:27" x14ac:dyDescent="0.3">
      <c r="N145" s="104">
        <v>0</v>
      </c>
      <c r="O145" s="104">
        <f t="shared" si="3"/>
        <v>29.073163959911668</v>
      </c>
      <c r="P145" s="104">
        <v>348.87796751894001</v>
      </c>
      <c r="Q145" s="104">
        <v>7.722192227382056</v>
      </c>
      <c r="R145" s="96"/>
      <c r="Y145" s="88"/>
      <c r="Z145" s="88"/>
      <c r="AA145" s="88"/>
    </row>
    <row r="146" spans="14:27" x14ac:dyDescent="0.3">
      <c r="N146" s="104">
        <v>0</v>
      </c>
      <c r="O146" s="104">
        <f t="shared" si="3"/>
        <v>29.073373024911664</v>
      </c>
      <c r="P146" s="104">
        <v>348.88047629893998</v>
      </c>
      <c r="Q146" s="104">
        <v>7.7223535067314284</v>
      </c>
      <c r="R146" s="96"/>
      <c r="Y146" s="88"/>
      <c r="Z146" s="88"/>
      <c r="AA146" s="88"/>
    </row>
    <row r="147" spans="14:27" x14ac:dyDescent="0.3">
      <c r="N147" s="104">
        <v>0</v>
      </c>
      <c r="O147" s="104">
        <f t="shared" si="3"/>
        <v>29.464826975088332</v>
      </c>
      <c r="P147" s="104">
        <v>353.57792370106</v>
      </c>
      <c r="Q147" s="104">
        <v>8.0285060524756044</v>
      </c>
      <c r="R147" s="96"/>
      <c r="Y147" s="88"/>
      <c r="Z147" s="88"/>
      <c r="AA147" s="88"/>
    </row>
    <row r="148" spans="14:27" x14ac:dyDescent="0.3">
      <c r="N148" s="104">
        <v>0</v>
      </c>
      <c r="O148" s="104">
        <f t="shared" si="3"/>
        <v>29.465036040088332</v>
      </c>
      <c r="P148" s="104">
        <v>353.58043248105997</v>
      </c>
      <c r="Q148" s="104">
        <v>8.0286717990123204</v>
      </c>
      <c r="R148" s="96"/>
      <c r="Y148" s="88"/>
      <c r="Z148" s="88"/>
      <c r="AA148" s="88"/>
    </row>
    <row r="149" spans="14:27" x14ac:dyDescent="0.3">
      <c r="N149" s="104">
        <v>0</v>
      </c>
      <c r="O149" s="104">
        <f t="shared" si="3"/>
        <v>29.465454170088336</v>
      </c>
      <c r="P149" s="104">
        <v>353.58545004106003</v>
      </c>
      <c r="Q149" s="104">
        <v>8.0290032991766349</v>
      </c>
      <c r="R149" s="96"/>
      <c r="Y149" s="88"/>
      <c r="Z149" s="88"/>
      <c r="AA149" s="88"/>
    </row>
    <row r="150" spans="14:27" x14ac:dyDescent="0.3">
      <c r="N150" s="104">
        <v>0</v>
      </c>
      <c r="O150" s="104">
        <f t="shared" si="3"/>
        <v>29.465663235088332</v>
      </c>
      <c r="P150" s="104">
        <v>353.58795882106</v>
      </c>
      <c r="Q150" s="104">
        <v>8.0291690528940691</v>
      </c>
      <c r="R150" s="96"/>
      <c r="Y150" s="88"/>
      <c r="Z150" s="88"/>
      <c r="AA150" s="88"/>
    </row>
    <row r="151" spans="14:27" x14ac:dyDescent="0.3">
      <c r="N151" s="104">
        <v>0</v>
      </c>
      <c r="O151" s="104">
        <f t="shared" si="3"/>
        <v>30.233581006827553</v>
      </c>
      <c r="P151" s="104">
        <v>362.80297208193065</v>
      </c>
      <c r="Q151" s="104">
        <v>8.6543448317291087</v>
      </c>
      <c r="R151" s="96"/>
      <c r="Y151" s="88"/>
      <c r="Z151" s="88"/>
      <c r="AA151" s="88"/>
    </row>
    <row r="152" spans="14:27" x14ac:dyDescent="0.3">
      <c r="N152" s="104">
        <v>0</v>
      </c>
      <c r="O152" s="104">
        <f t="shared" si="3"/>
        <v>30.233790071827553</v>
      </c>
      <c r="P152" s="104">
        <v>362.80548086193062</v>
      </c>
      <c r="Q152" s="104">
        <v>8.6545195245541038</v>
      </c>
      <c r="R152" s="96"/>
      <c r="Y152" s="88"/>
      <c r="Z152" s="88"/>
      <c r="AA152" s="88"/>
    </row>
    <row r="153" spans="14:27" x14ac:dyDescent="0.3">
      <c r="N153" s="104">
        <v>0</v>
      </c>
      <c r="O153" s="104">
        <f t="shared" si="3"/>
        <v>30.234208201827556</v>
      </c>
      <c r="P153" s="104">
        <v>362.81049842193067</v>
      </c>
      <c r="Q153" s="104">
        <v>8.654868917627093</v>
      </c>
      <c r="R153" s="96"/>
      <c r="Y153" s="88"/>
      <c r="Z153" s="88"/>
      <c r="AA153" s="88"/>
    </row>
    <row r="154" spans="14:27" x14ac:dyDescent="0.3">
      <c r="N154" s="104">
        <v>0</v>
      </c>
      <c r="O154" s="104">
        <f t="shared" si="3"/>
        <v>30.234417266827553</v>
      </c>
      <c r="P154" s="104">
        <v>362.81300720193065</v>
      </c>
      <c r="Q154" s="104">
        <v>8.6550436178296213</v>
      </c>
      <c r="R154" s="96"/>
      <c r="Y154" s="88"/>
      <c r="Z154" s="88"/>
      <c r="AA154" s="88"/>
    </row>
    <row r="155" spans="14:27" x14ac:dyDescent="0.3">
      <c r="N155" s="104">
        <v>0</v>
      </c>
      <c r="O155" s="104">
        <f t="shared" si="3"/>
        <v>31.359331870000002</v>
      </c>
      <c r="P155" s="104">
        <v>376.31198244000001</v>
      </c>
      <c r="Q155" s="104">
        <v>11.432349165593571</v>
      </c>
      <c r="R155" s="96"/>
      <c r="Y155" s="88"/>
      <c r="Z155" s="88"/>
      <c r="AA155" s="88"/>
    </row>
    <row r="156" spans="14:27" x14ac:dyDescent="0.3">
      <c r="N156" s="104">
        <v>0</v>
      </c>
      <c r="O156" s="104">
        <f t="shared" si="3"/>
        <v>31.359540934999998</v>
      </c>
      <c r="P156" s="104">
        <v>376.31449121999998</v>
      </c>
      <c r="Q156" s="104">
        <v>11.432542794872724</v>
      </c>
      <c r="R156" s="96"/>
      <c r="Y156" s="88"/>
      <c r="Z156" s="88"/>
      <c r="AA156" s="88"/>
    </row>
    <row r="157" spans="14:27" x14ac:dyDescent="0.3">
      <c r="N157" s="104">
        <v>0</v>
      </c>
      <c r="O157" s="104">
        <f t="shared" si="3"/>
        <v>31.359959065000002</v>
      </c>
      <c r="P157" s="104">
        <v>376.31950878000004</v>
      </c>
      <c r="Q157" s="104">
        <v>11.43293006109247</v>
      </c>
      <c r="R157" s="96"/>
      <c r="Y157" s="88"/>
      <c r="Z157" s="88"/>
      <c r="AA157" s="88"/>
    </row>
    <row r="158" spans="14:27" x14ac:dyDescent="0.3">
      <c r="N158" s="104">
        <v>0</v>
      </c>
      <c r="O158" s="104">
        <f t="shared" si="3"/>
        <v>31.360168130000002</v>
      </c>
      <c r="P158" s="104">
        <v>376.32201756000001</v>
      </c>
      <c r="Q158" s="104">
        <v>11.433123698062268</v>
      </c>
      <c r="R158" s="96"/>
      <c r="Y158" s="88"/>
      <c r="Z158" s="88"/>
      <c r="AA158" s="88"/>
    </row>
    <row r="159" spans="14:27" x14ac:dyDescent="0.3">
      <c r="N159" s="104">
        <v>0</v>
      </c>
      <c r="O159" s="104">
        <f t="shared" si="3"/>
        <v>32.485082733172447</v>
      </c>
      <c r="P159" s="104">
        <v>389.82099279806937</v>
      </c>
      <c r="Q159" s="104">
        <v>12.512704991484652</v>
      </c>
      <c r="R159" s="96"/>
      <c r="Y159" s="88"/>
      <c r="Z159" s="88"/>
      <c r="AA159" s="88"/>
    </row>
    <row r="160" spans="14:27" x14ac:dyDescent="0.3">
      <c r="N160" s="104">
        <v>0</v>
      </c>
      <c r="O160" s="104">
        <f t="shared" si="3"/>
        <v>32.485291798172447</v>
      </c>
      <c r="P160" s="104">
        <v>389.82350157806934</v>
      </c>
      <c r="Q160" s="104">
        <v>12.512912732835671</v>
      </c>
      <c r="R160" s="96"/>
      <c r="Y160" s="88"/>
      <c r="Z160" s="88"/>
      <c r="AA160" s="88"/>
    </row>
    <row r="161" spans="14:27" x14ac:dyDescent="0.3">
      <c r="N161" s="104">
        <v>0</v>
      </c>
      <c r="O161" s="104">
        <f t="shared" si="3"/>
        <v>32.485709928172447</v>
      </c>
      <c r="P161" s="104">
        <v>389.8285191380694</v>
      </c>
      <c r="Q161" s="104">
        <v>12.513328223509294</v>
      </c>
      <c r="R161" s="96"/>
      <c r="Y161" s="88"/>
      <c r="Z161" s="88"/>
      <c r="AA161" s="88"/>
    </row>
    <row r="162" spans="14:27" x14ac:dyDescent="0.3">
      <c r="N162" s="104">
        <v>0</v>
      </c>
      <c r="O162" s="104">
        <f t="shared" si="3"/>
        <v>32.485918993172447</v>
      </c>
      <c r="P162" s="104">
        <v>389.83102791806937</v>
      </c>
      <c r="Q162" s="104">
        <v>12.513535972849786</v>
      </c>
      <c r="R162" s="96"/>
      <c r="Y162" s="88"/>
      <c r="Z162" s="88"/>
      <c r="AA162" s="88"/>
    </row>
    <row r="163" spans="14:27" x14ac:dyDescent="0.3">
      <c r="N163" s="104">
        <v>0</v>
      </c>
      <c r="O163" s="104">
        <f t="shared" si="3"/>
        <v>33.253836764911668</v>
      </c>
      <c r="P163" s="104">
        <v>399.04604117894002</v>
      </c>
      <c r="Q163" s="104">
        <v>13.294845794678947</v>
      </c>
      <c r="R163" s="96"/>
      <c r="Y163" s="88"/>
      <c r="Z163" s="88"/>
      <c r="AA163" s="88"/>
    </row>
    <row r="164" spans="14:27" x14ac:dyDescent="0.3">
      <c r="N164" s="104">
        <v>0</v>
      </c>
      <c r="O164" s="104">
        <f t="shared" si="3"/>
        <v>33.254045829911668</v>
      </c>
      <c r="P164" s="104">
        <v>399.04854995893999</v>
      </c>
      <c r="Q164" s="104">
        <v>13.295063513279953</v>
      </c>
      <c r="R164" s="96"/>
      <c r="Y164" s="88"/>
      <c r="Z164" s="88"/>
      <c r="AA164" s="88"/>
    </row>
    <row r="165" spans="14:27" x14ac:dyDescent="0.3">
      <c r="N165" s="104">
        <v>0</v>
      </c>
      <c r="O165" s="104">
        <f t="shared" si="3"/>
        <v>33.254463959911668</v>
      </c>
      <c r="P165" s="104">
        <v>399.05356751894004</v>
      </c>
      <c r="Q165" s="104">
        <v>13.295498958680692</v>
      </c>
      <c r="R165" s="96"/>
      <c r="Y165" s="88"/>
      <c r="Z165" s="88"/>
      <c r="AA165" s="88"/>
    </row>
    <row r="166" spans="14:27" x14ac:dyDescent="0.3">
      <c r="N166" s="104">
        <v>0</v>
      </c>
      <c r="O166" s="104">
        <f t="shared" si="3"/>
        <v>33.254673024911668</v>
      </c>
      <c r="P166" s="104">
        <v>399.05607629894001</v>
      </c>
      <c r="Q166" s="104">
        <v>13.295716685522851</v>
      </c>
      <c r="R166" s="96"/>
      <c r="Y166" s="88"/>
      <c r="Z166" s="88"/>
      <c r="AA166" s="88"/>
    </row>
    <row r="167" spans="14:27" x14ac:dyDescent="0.3">
      <c r="N167" s="104">
        <v>0</v>
      </c>
      <c r="O167" s="104">
        <f t="shared" si="3"/>
        <v>33.646126975088336</v>
      </c>
      <c r="P167" s="104">
        <v>403.75352370106003</v>
      </c>
      <c r="Q167" s="104">
        <v>13.708236330017929</v>
      </c>
      <c r="R167" s="96"/>
      <c r="Y167" s="88"/>
      <c r="Z167" s="88"/>
      <c r="AA167" s="88"/>
    </row>
    <row r="168" spans="14:27" x14ac:dyDescent="0.3">
      <c r="N168" s="104">
        <v>0</v>
      </c>
      <c r="O168" s="104">
        <f t="shared" si="3"/>
        <v>33.646336040088336</v>
      </c>
      <c r="P168" s="104">
        <v>403.75603248106</v>
      </c>
      <c r="Q168" s="104">
        <v>13.708459246358059</v>
      </c>
      <c r="R168" s="96"/>
      <c r="Y168" s="88"/>
      <c r="Z168" s="88"/>
      <c r="AA168" s="88"/>
    </row>
    <row r="169" spans="14:27" x14ac:dyDescent="0.3">
      <c r="N169" s="104">
        <v>0</v>
      </c>
      <c r="O169" s="104">
        <f t="shared" si="3"/>
        <v>33.646754170088336</v>
      </c>
      <c r="P169" s="104">
        <v>403.76105004106006</v>
      </c>
      <c r="Q169" s="104">
        <v>13.708905087448112</v>
      </c>
      <c r="R169" s="96"/>
      <c r="Y169" s="88"/>
      <c r="Z169" s="88"/>
      <c r="AA169" s="88"/>
    </row>
    <row r="170" spans="14:27" x14ac:dyDescent="0.3">
      <c r="N170" s="104">
        <v>0</v>
      </c>
      <c r="O170" s="104">
        <f t="shared" si="3"/>
        <v>33.646963235088336</v>
      </c>
      <c r="P170" s="104">
        <v>403.76355882106003</v>
      </c>
      <c r="Q170" s="104">
        <v>13.709128012181123</v>
      </c>
      <c r="R170" s="96"/>
      <c r="Y170" s="88"/>
      <c r="Z170" s="88"/>
      <c r="AA170" s="88"/>
    </row>
    <row r="171" spans="14:27" x14ac:dyDescent="0.3">
      <c r="N171" s="104">
        <v>0</v>
      </c>
      <c r="O171" s="104">
        <f t="shared" si="3"/>
        <v>34.414881006827557</v>
      </c>
      <c r="P171" s="104">
        <v>412.97857208193068</v>
      </c>
      <c r="Q171" s="104">
        <v>14.546944236537019</v>
      </c>
      <c r="R171" s="96"/>
      <c r="Y171" s="88"/>
      <c r="Z171" s="88"/>
      <c r="AA171" s="88"/>
    </row>
    <row r="172" spans="14:27" x14ac:dyDescent="0.3">
      <c r="N172" s="104">
        <v>0</v>
      </c>
      <c r="O172" s="104">
        <f t="shared" si="3"/>
        <v>34.415090071827557</v>
      </c>
      <c r="P172" s="104">
        <v>412.98108086193065</v>
      </c>
      <c r="Q172" s="104">
        <v>14.547177547365283</v>
      </c>
      <c r="R172" s="96"/>
      <c r="Y172" s="88"/>
      <c r="Z172" s="88"/>
      <c r="AA172" s="88"/>
    </row>
    <row r="173" spans="14:27" x14ac:dyDescent="0.3">
      <c r="N173" s="104">
        <v>0</v>
      </c>
      <c r="O173" s="104">
        <f t="shared" si="3"/>
        <v>34.415508201827556</v>
      </c>
      <c r="P173" s="104">
        <v>412.98609842193071</v>
      </c>
      <c r="Q173" s="104">
        <v>14.547644177664948</v>
      </c>
      <c r="R173" s="96"/>
      <c r="Y173" s="88"/>
      <c r="Z173" s="88"/>
      <c r="AA173" s="88"/>
    </row>
    <row r="174" spans="14:27" x14ac:dyDescent="0.3">
      <c r="N174" s="104">
        <v>0</v>
      </c>
      <c r="O174" s="104">
        <f t="shared" si="3"/>
        <v>34.415717266827556</v>
      </c>
      <c r="P174" s="104">
        <v>412.98860720193068</v>
      </c>
      <c r="Q174" s="104">
        <v>14.547877497101235</v>
      </c>
      <c r="R174" s="96"/>
      <c r="Y174" s="88"/>
      <c r="Z174" s="88"/>
      <c r="AA174" s="88"/>
    </row>
    <row r="175" spans="14:27" x14ac:dyDescent="0.3">
      <c r="N175" s="104">
        <v>0</v>
      </c>
      <c r="O175" s="104">
        <f t="shared" si="3"/>
        <v>35.540631870000006</v>
      </c>
      <c r="P175" s="104">
        <v>426.48758244000004</v>
      </c>
      <c r="Q175" s="104">
        <v>15.845301469561161</v>
      </c>
      <c r="R175" s="96"/>
      <c r="Y175" s="88"/>
      <c r="Z175" s="88"/>
      <c r="AA175" s="88"/>
    </row>
    <row r="176" spans="14:27" x14ac:dyDescent="0.3">
      <c r="N176" s="104">
        <v>0</v>
      </c>
      <c r="O176" s="104">
        <f t="shared" si="3"/>
        <v>35.540840934999999</v>
      </c>
      <c r="P176" s="104">
        <v>426.49009122000001</v>
      </c>
      <c r="Q176" s="104">
        <v>15.845550500377785</v>
      </c>
      <c r="R176" s="96"/>
      <c r="Y176" s="88"/>
      <c r="Z176" s="88"/>
      <c r="AA176" s="88"/>
    </row>
    <row r="177" spans="14:27" x14ac:dyDescent="0.3">
      <c r="N177" s="104">
        <v>0</v>
      </c>
      <c r="O177" s="104">
        <f t="shared" si="3"/>
        <v>35.541259065000006</v>
      </c>
      <c r="P177" s="104">
        <v>426.49510878000007</v>
      </c>
      <c r="Q177" s="104">
        <v>15.846048570950041</v>
      </c>
      <c r="R177" s="96"/>
      <c r="Y177" s="88"/>
      <c r="Z177" s="88"/>
      <c r="AA177" s="88"/>
    </row>
    <row r="178" spans="14:27" x14ac:dyDescent="0.3">
      <c r="N178" s="104">
        <v>0</v>
      </c>
      <c r="O178" s="104">
        <f t="shared" si="3"/>
        <v>35.541468130000005</v>
      </c>
      <c r="P178" s="104">
        <v>426.49761756000004</v>
      </c>
      <c r="Q178" s="104">
        <v>15.846297610665578</v>
      </c>
      <c r="R178" s="96"/>
      <c r="Y178" s="88"/>
      <c r="Z178" s="88"/>
      <c r="AA178" s="88"/>
    </row>
    <row r="179" spans="14:27" x14ac:dyDescent="0.3">
      <c r="N179" s="104">
        <v>0</v>
      </c>
      <c r="O179" s="104">
        <f t="shared" si="3"/>
        <v>36.666382733172448</v>
      </c>
      <c r="P179" s="104">
        <v>439.9965927980694</v>
      </c>
      <c r="Q179" s="104">
        <v>17.229900589408526</v>
      </c>
      <c r="R179" s="96"/>
      <c r="Y179" s="88"/>
      <c r="Z179" s="88"/>
      <c r="AA179" s="88"/>
    </row>
    <row r="180" spans="14:27" x14ac:dyDescent="0.3">
      <c r="N180" s="104">
        <v>0</v>
      </c>
      <c r="O180" s="104">
        <f t="shared" si="3"/>
        <v>36.666591798172448</v>
      </c>
      <c r="P180" s="104">
        <v>439.99910157806937</v>
      </c>
      <c r="Q180" s="104">
        <v>17.230165932591145</v>
      </c>
      <c r="R180" s="96"/>
      <c r="Y180" s="88"/>
      <c r="Z180" s="88"/>
      <c r="AA180" s="88"/>
    </row>
    <row r="181" spans="14:27" x14ac:dyDescent="0.3">
      <c r="N181" s="104">
        <v>0</v>
      </c>
      <c r="O181" s="104">
        <f t="shared" si="3"/>
        <v>36.667009928172455</v>
      </c>
      <c r="P181" s="104">
        <v>440.00411913806943</v>
      </c>
      <c r="Q181" s="104">
        <v>17.230696628238384</v>
      </c>
      <c r="R181" s="96"/>
      <c r="Y181" s="88"/>
      <c r="Z181" s="88"/>
      <c r="AA181" s="88"/>
    </row>
    <row r="182" spans="14:27" x14ac:dyDescent="0.3">
      <c r="N182" s="104">
        <v>0</v>
      </c>
      <c r="O182" s="104">
        <f t="shared" si="3"/>
        <v>36.667218993172447</v>
      </c>
      <c r="P182" s="104">
        <v>440.0066279180694</v>
      </c>
      <c r="Q182" s="104">
        <v>17.230961980676874</v>
      </c>
      <c r="R182" s="96"/>
      <c r="Y182" s="88"/>
      <c r="Z182" s="88"/>
      <c r="AA182" s="88"/>
    </row>
    <row r="183" spans="14:27" x14ac:dyDescent="0.3">
      <c r="N183" s="104">
        <v>0</v>
      </c>
      <c r="O183" s="104">
        <f t="shared" si="3"/>
        <v>37.435136764911668</v>
      </c>
      <c r="P183" s="104">
        <v>449.22164117894005</v>
      </c>
      <c r="Q183" s="104">
        <v>18.226611293287899</v>
      </c>
      <c r="R183" s="96"/>
      <c r="Y183" s="88"/>
      <c r="Z183" s="88"/>
      <c r="AA183" s="88"/>
    </row>
    <row r="184" spans="14:27" x14ac:dyDescent="0.3">
      <c r="N184" s="104">
        <v>0</v>
      </c>
      <c r="O184" s="104">
        <f t="shared" si="3"/>
        <v>37.435345829911668</v>
      </c>
      <c r="P184" s="104">
        <v>449.22414995894002</v>
      </c>
      <c r="Q184" s="104">
        <v>18.226888116313539</v>
      </c>
      <c r="R184" s="96"/>
      <c r="Y184" s="88"/>
      <c r="Z184" s="88"/>
      <c r="AA184" s="88"/>
    </row>
    <row r="185" spans="14:27" x14ac:dyDescent="0.3">
      <c r="N185" s="104">
        <v>0</v>
      </c>
      <c r="O185" s="104">
        <f t="shared" si="3"/>
        <v>37.435763959911675</v>
      </c>
      <c r="P185" s="104">
        <v>449.22916751894007</v>
      </c>
      <c r="Q185" s="104">
        <v>18.227441771773293</v>
      </c>
      <c r="R185" s="96"/>
      <c r="Y185" s="88"/>
      <c r="Z185" s="88"/>
      <c r="AA185" s="88"/>
    </row>
    <row r="186" spans="14:27" x14ac:dyDescent="0.3">
      <c r="N186" s="104">
        <v>0</v>
      </c>
      <c r="O186" s="104">
        <f t="shared" si="3"/>
        <v>37.435973024911668</v>
      </c>
      <c r="P186" s="104">
        <v>449.23167629894004</v>
      </c>
      <c r="Q186" s="104">
        <v>18.227718604233775</v>
      </c>
      <c r="R186" s="96"/>
      <c r="Y186" s="88"/>
      <c r="Z186" s="88"/>
      <c r="AA186" s="88"/>
    </row>
    <row r="187" spans="14:27" x14ac:dyDescent="0.3">
      <c r="N187" s="104">
        <v>0</v>
      </c>
      <c r="O187" s="104">
        <f t="shared" si="3"/>
        <v>37.827426975088336</v>
      </c>
      <c r="P187" s="104">
        <v>453.92912370106006</v>
      </c>
      <c r="Q187" s="104">
        <v>18.751624502334963</v>
      </c>
      <c r="R187" s="96"/>
      <c r="Y187" s="88"/>
      <c r="Z187" s="88"/>
      <c r="AA187" s="88"/>
    </row>
    <row r="188" spans="14:27" x14ac:dyDescent="0.3">
      <c r="N188" s="104">
        <v>0</v>
      </c>
      <c r="O188" s="104">
        <f t="shared" si="3"/>
        <v>37.827636040088336</v>
      </c>
      <c r="P188" s="104">
        <v>453.93163248106003</v>
      </c>
      <c r="Q188" s="104">
        <v>18.751907289853083</v>
      </c>
      <c r="R188" s="96"/>
      <c r="Y188" s="88"/>
      <c r="Z188" s="88"/>
      <c r="AA188" s="88"/>
    </row>
    <row r="189" spans="14:27" x14ac:dyDescent="0.3">
      <c r="N189" s="104">
        <v>0</v>
      </c>
      <c r="O189" s="104">
        <f t="shared" si="3"/>
        <v>37.828054170088343</v>
      </c>
      <c r="P189" s="104">
        <v>453.93665004106009</v>
      </c>
      <c r="Q189" s="104">
        <v>18.752472874436481</v>
      </c>
      <c r="R189" s="96"/>
      <c r="Y189" s="88"/>
      <c r="Z189" s="88"/>
      <c r="AA189" s="88"/>
    </row>
    <row r="190" spans="14:27" x14ac:dyDescent="0.3">
      <c r="N190" s="104">
        <v>0</v>
      </c>
      <c r="O190" s="104">
        <f t="shared" si="3"/>
        <v>37.828263235088336</v>
      </c>
      <c r="P190" s="104">
        <v>453.93915882106006</v>
      </c>
      <c r="Q190" s="104">
        <v>18.752755671573627</v>
      </c>
      <c r="R190" s="96"/>
      <c r="Y190" s="88"/>
      <c r="Z190" s="88"/>
      <c r="AA190" s="88"/>
    </row>
    <row r="191" spans="14:27" x14ac:dyDescent="0.3">
      <c r="N191" s="104">
        <v>0</v>
      </c>
      <c r="O191" s="104">
        <f t="shared" si="3"/>
        <v>38.596181006827557</v>
      </c>
      <c r="P191" s="104">
        <v>463.15417208193071</v>
      </c>
      <c r="Q191" s="104">
        <v>19.813246673042883</v>
      </c>
      <c r="R191" s="96"/>
      <c r="Y191" s="88"/>
      <c r="Z191" s="88"/>
      <c r="AA191" s="88"/>
    </row>
    <row r="192" spans="14:27" x14ac:dyDescent="0.3">
      <c r="N192" s="104">
        <v>0</v>
      </c>
      <c r="O192" s="104">
        <f t="shared" si="3"/>
        <v>38.596390071827557</v>
      </c>
      <c r="P192" s="104">
        <v>463.15668086193068</v>
      </c>
      <c r="Q192" s="104">
        <v>19.813541357629671</v>
      </c>
      <c r="R192" s="96"/>
      <c r="Y192" s="88"/>
      <c r="Z192" s="88"/>
      <c r="AA192" s="88"/>
    </row>
    <row r="193" spans="14:27" x14ac:dyDescent="0.3">
      <c r="N193" s="104">
        <v>0</v>
      </c>
      <c r="O193" s="104">
        <f t="shared" si="3"/>
        <v>38.596808201827564</v>
      </c>
      <c r="P193" s="104">
        <v>463.16169842193074</v>
      </c>
      <c r="Q193" s="104">
        <v>19.814130736465454</v>
      </c>
      <c r="R193" s="96"/>
      <c r="Y193" s="88"/>
      <c r="Z193" s="88"/>
      <c r="AA193" s="88"/>
    </row>
    <row r="194" spans="14:27" x14ac:dyDescent="0.3">
      <c r="N194" s="104">
        <v>0</v>
      </c>
      <c r="O194" s="104">
        <f t="shared" si="3"/>
        <v>38.597017266827557</v>
      </c>
      <c r="P194" s="104">
        <v>463.16420720193071</v>
      </c>
      <c r="Q194" s="104">
        <v>19.81442543085134</v>
      </c>
      <c r="R194" s="96"/>
      <c r="Y194" s="88"/>
      <c r="Z194" s="88"/>
      <c r="AA194" s="88"/>
    </row>
    <row r="195" spans="14:27" x14ac:dyDescent="0.3">
      <c r="N195" s="104">
        <v>0</v>
      </c>
      <c r="O195" s="104">
        <f t="shared" si="3"/>
        <v>39.721931870000006</v>
      </c>
      <c r="P195" s="104">
        <v>476.66318244000007</v>
      </c>
      <c r="Q195" s="104">
        <v>21.448005166020767</v>
      </c>
      <c r="R195" s="96"/>
      <c r="Y195" s="88"/>
      <c r="Z195" s="88"/>
      <c r="AA195" s="88"/>
    </row>
    <row r="196" spans="14:27" x14ac:dyDescent="0.3">
      <c r="N196" s="104">
        <v>0</v>
      </c>
      <c r="O196" s="104">
        <f t="shared" si="3"/>
        <v>39.722140935000006</v>
      </c>
      <c r="P196" s="104">
        <v>476.66569122000004</v>
      </c>
      <c r="Q196" s="104">
        <v>21.448317770813166</v>
      </c>
      <c r="R196" s="96"/>
      <c r="Y196" s="88"/>
      <c r="Z196" s="88"/>
      <c r="AA196" s="88"/>
    </row>
    <row r="197" spans="14:27" x14ac:dyDescent="0.3">
      <c r="N197" s="104">
        <v>0</v>
      </c>
      <c r="O197" s="104">
        <f t="shared" si="3"/>
        <v>39.722559065000006</v>
      </c>
      <c r="P197" s="104">
        <v>476.6707087800001</v>
      </c>
      <c r="Q197" s="104">
        <v>21.448942990519996</v>
      </c>
      <c r="R197" s="96"/>
      <c r="Y197" s="88"/>
      <c r="Z197" s="88"/>
      <c r="AA197" s="88"/>
    </row>
    <row r="198" spans="14:27" x14ac:dyDescent="0.3">
      <c r="N198" s="104">
        <v>0</v>
      </c>
      <c r="O198" s="104">
        <f t="shared" si="3"/>
        <v>39.722768130000006</v>
      </c>
      <c r="P198" s="104">
        <v>476.67321756000007</v>
      </c>
      <c r="Q198" s="104">
        <v>21.449255605432668</v>
      </c>
      <c r="R198" s="96"/>
      <c r="Y198" s="88"/>
      <c r="Z198" s="88"/>
      <c r="AA198" s="88"/>
    </row>
    <row r="199" spans="14:27" x14ac:dyDescent="0.3">
      <c r="N199" s="104">
        <v>0</v>
      </c>
      <c r="O199" s="104">
        <f t="shared" ref="O199:O262" si="4">P199/12</f>
        <v>40.847682733172455</v>
      </c>
      <c r="P199" s="104">
        <v>490.17219279806943</v>
      </c>
      <c r="Q199" s="104">
        <v>23.180853309422272</v>
      </c>
      <c r="R199" s="96"/>
      <c r="Y199" s="88"/>
      <c r="Z199" s="88"/>
      <c r="AA199" s="88"/>
    </row>
    <row r="200" spans="14:27" x14ac:dyDescent="0.3">
      <c r="N200" s="104">
        <v>0</v>
      </c>
      <c r="O200" s="104">
        <f t="shared" si="4"/>
        <v>40.847891798172448</v>
      </c>
      <c r="P200" s="104">
        <v>490.1747015780694</v>
      </c>
      <c r="Q200" s="104">
        <v>23.181184426852695</v>
      </c>
      <c r="R200" s="96"/>
      <c r="Y200" s="88"/>
      <c r="Z200" s="88"/>
      <c r="AA200" s="88"/>
    </row>
    <row r="201" spans="14:27" x14ac:dyDescent="0.3">
      <c r="N201" s="104">
        <v>0</v>
      </c>
      <c r="O201" s="104">
        <f t="shared" si="4"/>
        <v>40.848309928172455</v>
      </c>
      <c r="P201" s="104">
        <v>490.17971913806946</v>
      </c>
      <c r="Q201" s="104">
        <v>23.18184667216164</v>
      </c>
      <c r="R201" s="96"/>
      <c r="Y201" s="88"/>
      <c r="Z201" s="88"/>
      <c r="AA201" s="88"/>
    </row>
    <row r="202" spans="14:27" x14ac:dyDescent="0.3">
      <c r="N202" s="104">
        <v>0</v>
      </c>
      <c r="O202" s="104">
        <f t="shared" si="4"/>
        <v>40.848518993172455</v>
      </c>
      <c r="P202" s="104">
        <v>490.18222791806943</v>
      </c>
      <c r="Q202" s="104">
        <v>23.182177800044006</v>
      </c>
      <c r="R202" s="96"/>
      <c r="Y202" s="88"/>
      <c r="Z202" s="88"/>
      <c r="AA202" s="88"/>
    </row>
    <row r="203" spans="14:27" x14ac:dyDescent="0.3">
      <c r="N203" s="104">
        <v>0</v>
      </c>
      <c r="O203" s="104">
        <f t="shared" si="4"/>
        <v>41.616436764911676</v>
      </c>
      <c r="P203" s="104">
        <v>499.39724117894008</v>
      </c>
      <c r="Q203" s="104">
        <v>24.422184432929303</v>
      </c>
      <c r="R203" s="96"/>
      <c r="Y203" s="88"/>
      <c r="Z203" s="88"/>
      <c r="AA203" s="88"/>
    </row>
    <row r="204" spans="14:27" x14ac:dyDescent="0.3">
      <c r="N204" s="104">
        <v>0</v>
      </c>
      <c r="O204" s="104">
        <f t="shared" si="4"/>
        <v>41.616645829911668</v>
      </c>
      <c r="P204" s="104">
        <v>499.39974995894005</v>
      </c>
      <c r="Q204" s="104">
        <v>24.422528532636004</v>
      </c>
      <c r="R204" s="96"/>
      <c r="Y204" s="88"/>
      <c r="Z204" s="88"/>
      <c r="AA204" s="88"/>
    </row>
    <row r="205" spans="14:27" x14ac:dyDescent="0.3">
      <c r="N205" s="104">
        <v>0</v>
      </c>
      <c r="O205" s="104">
        <f t="shared" si="4"/>
        <v>41.617063959911675</v>
      </c>
      <c r="P205" s="104">
        <v>499.4047675189401</v>
      </c>
      <c r="Q205" s="104">
        <v>24.423216742788991</v>
      </c>
      <c r="R205" s="96"/>
      <c r="Y205" s="88"/>
      <c r="Z205" s="88"/>
      <c r="AA205" s="88"/>
    </row>
    <row r="206" spans="14:27" x14ac:dyDescent="0.3">
      <c r="N206" s="104">
        <v>0</v>
      </c>
      <c r="O206" s="104">
        <f t="shared" si="4"/>
        <v>41.617273024911675</v>
      </c>
      <c r="P206" s="104">
        <v>499.40727629894008</v>
      </c>
      <c r="Q206" s="104">
        <v>24.423560853178117</v>
      </c>
      <c r="R206" s="96"/>
      <c r="Y206" s="88"/>
      <c r="Z206" s="88"/>
      <c r="AA206" s="88"/>
    </row>
    <row r="207" spans="14:27" x14ac:dyDescent="0.3">
      <c r="N207" s="104">
        <v>0</v>
      </c>
      <c r="O207" s="104">
        <f t="shared" si="4"/>
        <v>41.96279692769884</v>
      </c>
      <c r="P207" s="104">
        <v>503.55356313238605</v>
      </c>
      <c r="Q207" s="104">
        <v>-18.541371485215603</v>
      </c>
      <c r="R207" s="96"/>
      <c r="Y207" s="88"/>
      <c r="Z207" s="88"/>
      <c r="AA207" s="88"/>
    </row>
    <row r="208" spans="14:27" x14ac:dyDescent="0.3">
      <c r="N208" s="104">
        <v>0</v>
      </c>
      <c r="O208" s="104">
        <f t="shared" si="4"/>
        <v>41.962956932699043</v>
      </c>
      <c r="P208" s="104">
        <v>503.55548319238852</v>
      </c>
      <c r="Q208" s="104">
        <v>-18.541107515443429</v>
      </c>
      <c r="R208" s="96"/>
      <c r="Y208" s="88"/>
      <c r="Z208" s="88"/>
      <c r="AA208" s="88"/>
    </row>
    <row r="209" spans="14:27" x14ac:dyDescent="0.3">
      <c r="N209" s="104">
        <v>0</v>
      </c>
      <c r="O209" s="104">
        <f t="shared" si="4"/>
        <v>41.963276942699459</v>
      </c>
      <c r="P209" s="104">
        <v>503.55932331239347</v>
      </c>
      <c r="Q209" s="104">
        <v>-18.540579581804565</v>
      </c>
      <c r="R209" s="96"/>
      <c r="Y209" s="88"/>
      <c r="Z209" s="88"/>
      <c r="AA209" s="88"/>
    </row>
    <row r="210" spans="14:27" x14ac:dyDescent="0.3">
      <c r="N210" s="104">
        <v>0</v>
      </c>
      <c r="O210" s="104">
        <f t="shared" si="4"/>
        <v>41.963436947699662</v>
      </c>
      <c r="P210" s="104">
        <v>503.56124337239595</v>
      </c>
      <c r="Q210" s="104">
        <v>-18.540315618283046</v>
      </c>
      <c r="R210" s="96"/>
      <c r="Y210" s="88"/>
      <c r="Z210" s="88"/>
      <c r="AA210" s="88"/>
    </row>
    <row r="211" spans="14:27" x14ac:dyDescent="0.3">
      <c r="N211" s="104">
        <v>0</v>
      </c>
      <c r="O211" s="104">
        <f t="shared" si="4"/>
        <v>42.551152171316382</v>
      </c>
      <c r="P211" s="104">
        <v>510.61382605579655</v>
      </c>
      <c r="Q211" s="104">
        <v>-17.584434931133327</v>
      </c>
      <c r="R211" s="96"/>
      <c r="Y211" s="88"/>
      <c r="Z211" s="88"/>
      <c r="AA211" s="88"/>
    </row>
    <row r="212" spans="14:27" x14ac:dyDescent="0.3">
      <c r="N212" s="104">
        <v>0</v>
      </c>
      <c r="O212" s="104">
        <f t="shared" si="4"/>
        <v>42.551312176316586</v>
      </c>
      <c r="P212" s="104">
        <v>510.61574611579903</v>
      </c>
      <c r="Q212" s="104">
        <v>-17.584178398755896</v>
      </c>
      <c r="R212" s="96"/>
      <c r="Y212" s="88"/>
      <c r="Z212" s="88"/>
      <c r="AA212" s="88"/>
    </row>
    <row r="213" spans="14:27" x14ac:dyDescent="0.3">
      <c r="N213" s="104">
        <v>0</v>
      </c>
      <c r="O213" s="104">
        <f t="shared" si="4"/>
        <v>42.551632186317001</v>
      </c>
      <c r="P213" s="104">
        <v>510.61958623580398</v>
      </c>
      <c r="Q213" s="104">
        <v>-17.583665339850885</v>
      </c>
      <c r="R213" s="96"/>
      <c r="Y213" s="88"/>
      <c r="Z213" s="88"/>
      <c r="AA213" s="88"/>
    </row>
    <row r="214" spans="14:27" x14ac:dyDescent="0.3">
      <c r="N214" s="104">
        <v>0</v>
      </c>
      <c r="O214" s="104">
        <f t="shared" si="4"/>
        <v>42.551792191317205</v>
      </c>
      <c r="P214" s="104">
        <v>510.62150629580646</v>
      </c>
      <c r="Q214" s="104">
        <v>-17.583408813405725</v>
      </c>
      <c r="R214" s="96"/>
      <c r="Y214" s="88"/>
      <c r="Z214" s="88"/>
      <c r="AA214" s="88"/>
    </row>
    <row r="215" spans="14:27" x14ac:dyDescent="0.3">
      <c r="N215" s="104">
        <v>0</v>
      </c>
      <c r="O215" s="104">
        <f t="shared" si="4"/>
        <v>43.412729992060953</v>
      </c>
      <c r="P215" s="104">
        <v>520.95275990473147</v>
      </c>
      <c r="Q215" s="104">
        <v>-16.231921667356712</v>
      </c>
      <c r="R215" s="96"/>
      <c r="Y215" s="88"/>
      <c r="Z215" s="88"/>
      <c r="AA215" s="88"/>
    </row>
    <row r="216" spans="14:27" x14ac:dyDescent="0.3">
      <c r="N216" s="104">
        <v>0</v>
      </c>
      <c r="O216" s="104">
        <f t="shared" si="4"/>
        <v>43.412889997061164</v>
      </c>
      <c r="P216" s="104">
        <v>520.95467996473394</v>
      </c>
      <c r="Q216" s="104">
        <v>-16.231675802751059</v>
      </c>
      <c r="R216" s="96"/>
      <c r="Y216" s="88"/>
      <c r="Z216" s="88"/>
      <c r="AA216" s="88"/>
    </row>
    <row r="217" spans="14:27" x14ac:dyDescent="0.3">
      <c r="N217" s="104">
        <v>0</v>
      </c>
      <c r="O217" s="104">
        <f t="shared" si="4"/>
        <v>43.413210007061572</v>
      </c>
      <c r="P217" s="104">
        <v>520.95852008473889</v>
      </c>
      <c r="Q217" s="104">
        <v>-16.231184079162372</v>
      </c>
      <c r="R217" s="96"/>
      <c r="Y217" s="88"/>
      <c r="Z217" s="88"/>
      <c r="AA217" s="88"/>
    </row>
    <row r="218" spans="14:27" x14ac:dyDescent="0.3">
      <c r="N218" s="104">
        <v>0</v>
      </c>
      <c r="O218" s="104">
        <f t="shared" si="4"/>
        <v>43.413370012061783</v>
      </c>
      <c r="P218" s="104">
        <v>520.96044014474137</v>
      </c>
      <c r="Q218" s="104">
        <v>-16.230938220372767</v>
      </c>
      <c r="R218" s="96"/>
      <c r="Y218" s="88"/>
      <c r="Z218" s="88"/>
      <c r="AA218" s="88"/>
    </row>
    <row r="219" spans="14:27" x14ac:dyDescent="0.3">
      <c r="N219" s="104">
        <v>0</v>
      </c>
      <c r="O219" s="104">
        <f t="shared" si="4"/>
        <v>44.274307812805525</v>
      </c>
      <c r="P219" s="104">
        <v>531.29169375366632</v>
      </c>
      <c r="Q219" s="104">
        <v>-14.936136114073623</v>
      </c>
      <c r="R219" s="96"/>
      <c r="Y219" s="88"/>
      <c r="Z219" s="88"/>
      <c r="AA219" s="88"/>
    </row>
    <row r="220" spans="14:27" x14ac:dyDescent="0.3">
      <c r="N220" s="104">
        <v>0</v>
      </c>
      <c r="O220" s="104">
        <f t="shared" si="4"/>
        <v>44.274467817805736</v>
      </c>
      <c r="P220" s="104">
        <v>531.2936138136688</v>
      </c>
      <c r="Q220" s="104">
        <v>-14.93590065151982</v>
      </c>
      <c r="R220" s="96"/>
      <c r="Y220" s="88"/>
      <c r="Z220" s="88"/>
      <c r="AA220" s="88"/>
    </row>
    <row r="221" spans="14:27" x14ac:dyDescent="0.3">
      <c r="N221" s="104">
        <v>0</v>
      </c>
      <c r="O221" s="104">
        <f t="shared" si="4"/>
        <v>44.274787827806144</v>
      </c>
      <c r="P221" s="104">
        <v>531.29745393367375</v>
      </c>
      <c r="Q221" s="104">
        <v>-14.935429732376967</v>
      </c>
      <c r="R221" s="96"/>
      <c r="Y221" s="88"/>
      <c r="Z221" s="88"/>
      <c r="AA221" s="88"/>
    </row>
    <row r="222" spans="14:27" x14ac:dyDescent="0.3">
      <c r="N222" s="104">
        <v>0</v>
      </c>
      <c r="O222" s="104">
        <f t="shared" si="4"/>
        <v>44.274947832806355</v>
      </c>
      <c r="P222" s="104">
        <v>531.29937399367623</v>
      </c>
      <c r="Q222" s="104">
        <v>-14.935194275651035</v>
      </c>
      <c r="R222" s="96"/>
      <c r="Y222" s="88"/>
      <c r="Z222" s="88"/>
      <c r="AA222" s="88"/>
    </row>
    <row r="223" spans="14:27" x14ac:dyDescent="0.3">
      <c r="N223" s="104">
        <v>0</v>
      </c>
      <c r="O223" s="104">
        <f t="shared" si="4"/>
        <v>44.862663056423081</v>
      </c>
      <c r="P223" s="104">
        <v>538.35195667707694</v>
      </c>
      <c r="Q223" s="104">
        <v>-14.08312976689799</v>
      </c>
      <c r="R223" s="96"/>
      <c r="Y223" s="88"/>
      <c r="Z223" s="88"/>
      <c r="AA223" s="88"/>
    </row>
    <row r="224" spans="14:27" x14ac:dyDescent="0.3">
      <c r="N224" s="104">
        <v>0</v>
      </c>
      <c r="O224" s="104">
        <f t="shared" si="4"/>
        <v>44.862823061423285</v>
      </c>
      <c r="P224" s="104">
        <v>538.35387673707942</v>
      </c>
      <c r="Q224" s="104">
        <v>-14.082901255195228</v>
      </c>
      <c r="R224" s="96"/>
      <c r="Y224" s="88"/>
      <c r="Z224" s="88"/>
      <c r="AA224" s="88"/>
    </row>
    <row r="225" spans="14:27" x14ac:dyDescent="0.3">
      <c r="N225" s="104">
        <v>0</v>
      </c>
      <c r="O225" s="104">
        <f t="shared" si="4"/>
        <v>44.8631430714237</v>
      </c>
      <c r="P225" s="104">
        <v>538.35771685708437</v>
      </c>
      <c r="Q225" s="104">
        <v>-14.082444237704561</v>
      </c>
      <c r="R225" s="96"/>
      <c r="Y225" s="88"/>
      <c r="Z225" s="88"/>
      <c r="AA225" s="88"/>
    </row>
    <row r="226" spans="14:27" x14ac:dyDescent="0.3">
      <c r="N226" s="104">
        <v>0</v>
      </c>
      <c r="O226" s="104">
        <f t="shared" si="4"/>
        <v>44.863303076423904</v>
      </c>
      <c r="P226" s="104">
        <v>538.35963691708685</v>
      </c>
      <c r="Q226" s="104">
        <v>-14.082215731645391</v>
      </c>
      <c r="R226" s="96"/>
      <c r="Y226" s="88"/>
      <c r="Z226" s="88"/>
      <c r="AA226" s="88"/>
    </row>
    <row r="227" spans="14:27" x14ac:dyDescent="0.3">
      <c r="N227" s="104">
        <v>0</v>
      </c>
      <c r="O227" s="104">
        <f t="shared" si="4"/>
        <v>45.162896931821535</v>
      </c>
      <c r="P227" s="104">
        <v>541.95476318185843</v>
      </c>
      <c r="Q227" s="104">
        <v>-13.657636179213849</v>
      </c>
      <c r="R227" s="96"/>
      <c r="Y227" s="88"/>
      <c r="Z227" s="88"/>
      <c r="AA227" s="88"/>
    </row>
    <row r="228" spans="14:27" x14ac:dyDescent="0.3">
      <c r="N228" s="104">
        <v>0</v>
      </c>
      <c r="O228" s="104">
        <f t="shared" si="4"/>
        <v>45.163056936821739</v>
      </c>
      <c r="P228" s="104">
        <v>541.9566832418609</v>
      </c>
      <c r="Q228" s="104">
        <v>-13.657411166865103</v>
      </c>
      <c r="R228" s="96"/>
      <c r="Y228" s="88"/>
      <c r="Z228" s="88"/>
      <c r="AA228" s="88"/>
    </row>
    <row r="229" spans="14:27" x14ac:dyDescent="0.3">
      <c r="N229" s="104">
        <v>0</v>
      </c>
      <c r="O229" s="104">
        <f t="shared" si="4"/>
        <v>45.163376946822154</v>
      </c>
      <c r="P229" s="104">
        <v>541.96052336186585</v>
      </c>
      <c r="Q229" s="104">
        <v>-13.656961147711321</v>
      </c>
      <c r="R229" s="96"/>
      <c r="Y229" s="88"/>
      <c r="Z229" s="88"/>
      <c r="AA229" s="88"/>
    </row>
    <row r="230" spans="14:27" x14ac:dyDescent="0.3">
      <c r="N230" s="104">
        <v>0</v>
      </c>
      <c r="O230" s="104">
        <f t="shared" si="4"/>
        <v>45.163536951822358</v>
      </c>
      <c r="P230" s="104">
        <v>541.96244342186833</v>
      </c>
      <c r="Q230" s="104">
        <v>-13.656736140887787</v>
      </c>
      <c r="R230" s="96"/>
      <c r="Y230" s="88"/>
      <c r="Z230" s="88"/>
      <c r="AA230" s="88"/>
    </row>
    <row r="231" spans="14:27" x14ac:dyDescent="0.3">
      <c r="N231" s="104">
        <v>0</v>
      </c>
      <c r="O231" s="104">
        <f t="shared" si="4"/>
        <v>45.751252175439085</v>
      </c>
      <c r="P231" s="104">
        <v>549.01502610526904</v>
      </c>
      <c r="Q231" s="104">
        <v>-12.842712304756905</v>
      </c>
      <c r="R231" s="96"/>
      <c r="Y231" s="88"/>
      <c r="Z231" s="88"/>
      <c r="AA231" s="88"/>
    </row>
    <row r="232" spans="14:27" x14ac:dyDescent="0.3">
      <c r="N232" s="104">
        <v>0</v>
      </c>
      <c r="O232" s="104">
        <f t="shared" si="4"/>
        <v>45.751412180439296</v>
      </c>
      <c r="P232" s="104">
        <v>549.01694616527152</v>
      </c>
      <c r="Q232" s="104">
        <v>-12.842494056208622</v>
      </c>
      <c r="R232" s="96"/>
      <c r="Y232" s="88"/>
      <c r="Z232" s="88"/>
      <c r="AA232" s="88"/>
    </row>
    <row r="233" spans="14:27" x14ac:dyDescent="0.3">
      <c r="N233" s="104">
        <v>0</v>
      </c>
      <c r="O233" s="104">
        <f t="shared" si="4"/>
        <v>45.751732190439704</v>
      </c>
      <c r="P233" s="104">
        <v>549.02078628527647</v>
      </c>
      <c r="Q233" s="104">
        <v>-12.842057564558853</v>
      </c>
      <c r="R233" s="96"/>
      <c r="Y233" s="88"/>
      <c r="Z233" s="88"/>
      <c r="AA233" s="88"/>
    </row>
    <row r="234" spans="14:27" x14ac:dyDescent="0.3">
      <c r="N234" s="104">
        <v>0</v>
      </c>
      <c r="O234" s="104">
        <f t="shared" si="4"/>
        <v>45.751892195439915</v>
      </c>
      <c r="P234" s="104">
        <v>549.02270634527895</v>
      </c>
      <c r="Q234" s="104">
        <v>-12.841839321579283</v>
      </c>
      <c r="R234" s="96"/>
      <c r="Y234" s="88"/>
      <c r="Z234" s="88"/>
      <c r="AA234" s="88"/>
    </row>
    <row r="235" spans="14:27" x14ac:dyDescent="0.3">
      <c r="N235" s="104">
        <v>0</v>
      </c>
      <c r="O235" s="104">
        <f t="shared" si="4"/>
        <v>46.612829996183656</v>
      </c>
      <c r="P235" s="104">
        <v>559.3539599542039</v>
      </c>
      <c r="Q235" s="104">
        <v>-11.693691078330232</v>
      </c>
      <c r="R235" s="96"/>
      <c r="Y235" s="88"/>
      <c r="Z235" s="88"/>
      <c r="AA235" s="88"/>
    </row>
    <row r="236" spans="14:27" x14ac:dyDescent="0.3">
      <c r="N236" s="104">
        <v>0</v>
      </c>
      <c r="O236" s="104">
        <f t="shared" si="4"/>
        <v>46.612990001183867</v>
      </c>
      <c r="P236" s="104">
        <v>559.35588001420638</v>
      </c>
      <c r="Q236" s="104">
        <v>-11.693482511145028</v>
      </c>
      <c r="R236" s="96"/>
      <c r="Y236" s="88"/>
      <c r="Z236" s="88"/>
      <c r="AA236" s="88"/>
    </row>
    <row r="237" spans="14:27" x14ac:dyDescent="0.3">
      <c r="N237" s="104">
        <v>0</v>
      </c>
      <c r="O237" s="104">
        <f t="shared" si="4"/>
        <v>46.613310011184275</v>
      </c>
      <c r="P237" s="104">
        <v>559.35972013421133</v>
      </c>
      <c r="Q237" s="104">
        <v>-11.693065382322274</v>
      </c>
      <c r="R237" s="96"/>
      <c r="Y237" s="88"/>
      <c r="Z237" s="88"/>
      <c r="AA237" s="88"/>
    </row>
    <row r="238" spans="14:27" x14ac:dyDescent="0.3">
      <c r="N238" s="104">
        <v>0</v>
      </c>
      <c r="O238" s="104">
        <f t="shared" si="4"/>
        <v>46.613470016184486</v>
      </c>
      <c r="P238" s="104">
        <v>559.36164019421381</v>
      </c>
      <c r="Q238" s="104">
        <v>-11.692856820486078</v>
      </c>
      <c r="R238" s="96"/>
      <c r="Y238" s="88"/>
      <c r="Z238" s="88"/>
      <c r="AA238" s="88"/>
    </row>
    <row r="239" spans="14:27" x14ac:dyDescent="0.3">
      <c r="N239" s="104">
        <v>0</v>
      </c>
      <c r="O239" s="104">
        <f t="shared" si="4"/>
        <v>47.474407816928228</v>
      </c>
      <c r="P239" s="104">
        <v>569.69289380313876</v>
      </c>
      <c r="Q239" s="104">
        <v>-10.596086391661856</v>
      </c>
      <c r="R239" s="96"/>
      <c r="Y239" s="88"/>
      <c r="Z239" s="88"/>
      <c r="AA239" s="88"/>
    </row>
    <row r="240" spans="14:27" x14ac:dyDescent="0.3">
      <c r="N240" s="104">
        <v>0</v>
      </c>
      <c r="O240" s="104">
        <f t="shared" si="4"/>
        <v>47.474567821928439</v>
      </c>
      <c r="P240" s="104">
        <v>569.69481386314123</v>
      </c>
      <c r="Q240" s="104">
        <v>-10.595887240404011</v>
      </c>
      <c r="R240" s="96"/>
      <c r="Y240" s="88"/>
      <c r="Z240" s="88"/>
      <c r="AA240" s="88"/>
    </row>
    <row r="241" spans="14:27" x14ac:dyDescent="0.3">
      <c r="N241" s="104">
        <v>0</v>
      </c>
      <c r="O241" s="104">
        <f t="shared" si="4"/>
        <v>47.474887831928847</v>
      </c>
      <c r="P241" s="104">
        <v>569.69865398314619</v>
      </c>
      <c r="Q241" s="104">
        <v>-10.595488943042071</v>
      </c>
      <c r="R241" s="96"/>
      <c r="Y241" s="88"/>
      <c r="Z241" s="88"/>
      <c r="AA241" s="88"/>
    </row>
    <row r="242" spans="14:27" x14ac:dyDescent="0.3">
      <c r="N242" s="104">
        <v>0</v>
      </c>
      <c r="O242" s="104">
        <f t="shared" si="4"/>
        <v>47.475047836929058</v>
      </c>
      <c r="P242" s="104">
        <v>569.70057404314866</v>
      </c>
      <c r="Q242" s="104">
        <v>-10.595289796926792</v>
      </c>
      <c r="R242" s="96"/>
      <c r="Y242" s="88"/>
      <c r="Z242" s="88"/>
      <c r="AA242" s="88"/>
    </row>
    <row r="243" spans="14:27" x14ac:dyDescent="0.3">
      <c r="N243" s="104">
        <v>0</v>
      </c>
      <c r="O243" s="104">
        <f t="shared" si="4"/>
        <v>48.062763060545784</v>
      </c>
      <c r="P243" s="104">
        <v>576.75315672654938</v>
      </c>
      <c r="Q243" s="104">
        <v>-9.8753621870881716</v>
      </c>
      <c r="R243" s="96"/>
      <c r="Y243" s="88"/>
      <c r="Z243" s="88"/>
      <c r="AA243" s="88"/>
    </row>
    <row r="244" spans="14:27" x14ac:dyDescent="0.3">
      <c r="N244" s="104">
        <v>0</v>
      </c>
      <c r="O244" s="104">
        <f t="shared" si="4"/>
        <v>48.062923065545988</v>
      </c>
      <c r="P244" s="104">
        <v>576.75507678655185</v>
      </c>
      <c r="Q244" s="104">
        <v>-9.8751693130597928</v>
      </c>
      <c r="R244" s="96"/>
      <c r="Y244" s="88"/>
      <c r="Z244" s="88"/>
      <c r="AA244" s="88"/>
    </row>
    <row r="245" spans="14:27" x14ac:dyDescent="0.3">
      <c r="N245" s="104">
        <v>0</v>
      </c>
      <c r="O245" s="104">
        <f t="shared" si="4"/>
        <v>48.063243075546403</v>
      </c>
      <c r="P245" s="104">
        <v>576.75891690655681</v>
      </c>
      <c r="Q245" s="104">
        <v>-9.8747835702384137</v>
      </c>
      <c r="R245" s="96"/>
      <c r="Y245" s="88"/>
      <c r="Z245" s="88"/>
      <c r="AA245" s="88"/>
    </row>
    <row r="246" spans="14:27" x14ac:dyDescent="0.3">
      <c r="N246" s="104">
        <v>0</v>
      </c>
      <c r="O246" s="104">
        <f t="shared" si="4"/>
        <v>48.063403080546607</v>
      </c>
      <c r="P246" s="104">
        <v>576.76083696655928</v>
      </c>
      <c r="Q246" s="104">
        <v>-9.874590701448831</v>
      </c>
      <c r="R246" s="96"/>
      <c r="Y246" s="88"/>
      <c r="Z246" s="88"/>
      <c r="AA246" s="88"/>
    </row>
    <row r="247" spans="14:27" x14ac:dyDescent="0.3">
      <c r="N247" s="104">
        <v>0</v>
      </c>
      <c r="O247" s="104">
        <f t="shared" si="4"/>
        <v>48.36299693594426</v>
      </c>
      <c r="P247" s="104">
        <v>580.35596323133109</v>
      </c>
      <c r="Q247" s="104">
        <v>-9.516416910333696</v>
      </c>
      <c r="R247" s="96"/>
      <c r="Y247" s="88"/>
      <c r="Z247" s="88"/>
      <c r="AA247" s="88"/>
    </row>
    <row r="248" spans="14:27" x14ac:dyDescent="0.3">
      <c r="N248" s="104">
        <v>0</v>
      </c>
      <c r="O248" s="104">
        <f t="shared" si="4"/>
        <v>48.363156940944464</v>
      </c>
      <c r="P248" s="104">
        <v>580.35788329133356</v>
      </c>
      <c r="Q248" s="104">
        <v>-9.5162271918718986</v>
      </c>
      <c r="R248" s="96"/>
      <c r="Y248" s="88"/>
      <c r="Z248" s="88"/>
      <c r="AA248" s="88"/>
    </row>
    <row r="249" spans="14:27" x14ac:dyDescent="0.3">
      <c r="N249" s="104">
        <v>0</v>
      </c>
      <c r="O249" s="104">
        <f t="shared" si="4"/>
        <v>48.363476950944879</v>
      </c>
      <c r="P249" s="104">
        <v>580.36172341133852</v>
      </c>
      <c r="Q249" s="104">
        <v>-9.5158477601190512</v>
      </c>
      <c r="R249" s="96"/>
      <c r="Y249" s="88"/>
      <c r="Z249" s="88"/>
      <c r="AA249" s="88"/>
    </row>
    <row r="250" spans="14:27" x14ac:dyDescent="0.3">
      <c r="N250" s="104">
        <v>0</v>
      </c>
      <c r="O250" s="104">
        <f t="shared" si="4"/>
        <v>48.363636955945083</v>
      </c>
      <c r="P250" s="104">
        <v>580.36364347134099</v>
      </c>
      <c r="Q250" s="104">
        <v>-9.5156580466570873</v>
      </c>
      <c r="R250" s="96"/>
      <c r="Y250" s="88"/>
      <c r="Z250" s="88"/>
      <c r="AA250" s="88"/>
    </row>
    <row r="251" spans="14:27" x14ac:dyDescent="0.3">
      <c r="N251" s="104">
        <v>0</v>
      </c>
      <c r="O251" s="104">
        <f t="shared" si="4"/>
        <v>48.951352179561809</v>
      </c>
      <c r="P251" s="104">
        <v>587.41622615474171</v>
      </c>
      <c r="Q251" s="104">
        <v>-8.8300345383422822</v>
      </c>
      <c r="R251" s="96"/>
      <c r="Y251" s="88"/>
      <c r="Z251" s="88"/>
      <c r="AA251" s="88"/>
    </row>
    <row r="252" spans="14:27" x14ac:dyDescent="0.3">
      <c r="N252" s="104">
        <v>0</v>
      </c>
      <c r="O252" s="104">
        <f t="shared" si="4"/>
        <v>48.951512184562013</v>
      </c>
      <c r="P252" s="104">
        <v>587.41814621474418</v>
      </c>
      <c r="Q252" s="104">
        <v>-8.8298509102967913</v>
      </c>
      <c r="R252" s="96"/>
      <c r="Y252" s="88"/>
      <c r="Z252" s="88"/>
      <c r="AA252" s="88"/>
    </row>
    <row r="253" spans="14:27" x14ac:dyDescent="0.3">
      <c r="N253" s="104">
        <v>0</v>
      </c>
      <c r="O253" s="104">
        <f t="shared" si="4"/>
        <v>48.951832194562428</v>
      </c>
      <c r="P253" s="104">
        <v>587.42198633474914</v>
      </c>
      <c r="Q253" s="104">
        <v>-8.8294836589332419</v>
      </c>
      <c r="R253" s="96"/>
      <c r="Y253" s="88"/>
      <c r="Z253" s="88"/>
      <c r="AA253" s="88"/>
    </row>
    <row r="254" spans="14:27" x14ac:dyDescent="0.3">
      <c r="N254" s="104">
        <v>0</v>
      </c>
      <c r="O254" s="104">
        <f t="shared" si="4"/>
        <v>48.951992199562632</v>
      </c>
      <c r="P254" s="104">
        <v>587.42390639475161</v>
      </c>
      <c r="Q254" s="104">
        <v>-8.8293000357131675</v>
      </c>
      <c r="R254" s="96"/>
      <c r="Y254" s="88"/>
      <c r="Z254" s="88"/>
      <c r="AA254" s="88"/>
    </row>
    <row r="255" spans="14:27" x14ac:dyDescent="0.3">
      <c r="N255" s="104">
        <v>0</v>
      </c>
      <c r="O255" s="104">
        <f t="shared" si="4"/>
        <v>49.81293000030638</v>
      </c>
      <c r="P255" s="104">
        <v>597.75516000367656</v>
      </c>
      <c r="Q255" s="104">
        <v>-7.8647782947603062</v>
      </c>
      <c r="R255" s="96"/>
      <c r="Y255" s="88"/>
      <c r="Z255" s="88"/>
      <c r="AA255" s="88"/>
    </row>
    <row r="256" spans="14:27" x14ac:dyDescent="0.3">
      <c r="N256" s="104">
        <v>0</v>
      </c>
      <c r="O256" s="104">
        <f t="shared" si="4"/>
        <v>49.813090005306584</v>
      </c>
      <c r="P256" s="104">
        <v>597.75708006367904</v>
      </c>
      <c r="Q256" s="104">
        <v>-7.8646033616943711</v>
      </c>
      <c r="R256" s="96"/>
      <c r="Y256" s="88"/>
      <c r="Z256" s="88"/>
      <c r="AA256" s="88"/>
    </row>
    <row r="257" spans="14:27" x14ac:dyDescent="0.3">
      <c r="N257" s="104">
        <v>0</v>
      </c>
      <c r="O257" s="104">
        <f t="shared" si="4"/>
        <v>49.813410015306999</v>
      </c>
      <c r="P257" s="104">
        <v>597.76092018368399</v>
      </c>
      <c r="Q257" s="104">
        <v>-7.8642535002603324</v>
      </c>
      <c r="R257" s="96"/>
      <c r="Y257" s="88"/>
      <c r="Z257" s="88"/>
      <c r="AA257" s="88"/>
    </row>
    <row r="258" spans="14:27" x14ac:dyDescent="0.3">
      <c r="N258" s="104">
        <v>0</v>
      </c>
      <c r="O258" s="104">
        <f t="shared" si="4"/>
        <v>49.813570020307203</v>
      </c>
      <c r="P258" s="104">
        <v>597.76284024368647</v>
      </c>
      <c r="Q258" s="104">
        <v>-7.8640785717893209</v>
      </c>
      <c r="R258" s="96"/>
      <c r="Y258" s="88"/>
      <c r="Z258" s="88"/>
      <c r="AA258" s="88"/>
    </row>
    <row r="259" spans="14:27" x14ac:dyDescent="0.3">
      <c r="N259" s="104">
        <v>0</v>
      </c>
      <c r="O259" s="104">
        <f t="shared" si="4"/>
        <v>50.674507821050952</v>
      </c>
      <c r="P259" s="104">
        <v>608.09409385261142</v>
      </c>
      <c r="Q259" s="104">
        <v>-6.9456273233296528</v>
      </c>
      <c r="R259" s="96"/>
      <c r="Y259" s="88"/>
      <c r="Z259" s="88"/>
      <c r="AA259" s="88"/>
    </row>
    <row r="260" spans="14:27" x14ac:dyDescent="0.3">
      <c r="N260" s="104">
        <v>0</v>
      </c>
      <c r="O260" s="104">
        <f t="shared" si="4"/>
        <v>50.674667826051156</v>
      </c>
      <c r="P260" s="104">
        <v>608.0960139126139</v>
      </c>
      <c r="Q260" s="104">
        <v>-6.9454608197945973</v>
      </c>
      <c r="R260" s="96"/>
      <c r="Y260" s="88"/>
      <c r="Z260" s="88"/>
      <c r="AA260" s="88"/>
    </row>
    <row r="261" spans="14:27" x14ac:dyDescent="0.3">
      <c r="N261" s="104">
        <v>0</v>
      </c>
      <c r="O261" s="104">
        <f t="shared" si="4"/>
        <v>50.674987836051571</v>
      </c>
      <c r="P261" s="104">
        <v>608.09985403261885</v>
      </c>
      <c r="Q261" s="104">
        <v>-6.945127817124586</v>
      </c>
      <c r="R261" s="96"/>
      <c r="Y261" s="88"/>
      <c r="Z261" s="88"/>
      <c r="AA261" s="88"/>
    </row>
    <row r="262" spans="14:27" x14ac:dyDescent="0.3">
      <c r="N262" s="104">
        <v>0</v>
      </c>
      <c r="O262" s="104">
        <f t="shared" si="4"/>
        <v>50.675147841051775</v>
      </c>
      <c r="P262" s="104">
        <v>608.10177409262133</v>
      </c>
      <c r="Q262" s="104">
        <v>-6.9449613182190362</v>
      </c>
      <c r="R262" s="96"/>
      <c r="Y262" s="88"/>
      <c r="Z262" s="88"/>
      <c r="AA262" s="88"/>
    </row>
    <row r="263" spans="14:27" x14ac:dyDescent="0.3">
      <c r="N263" s="104">
        <v>0</v>
      </c>
      <c r="O263" s="104">
        <f t="shared" ref="O263:O326" si="5">P263/12</f>
        <v>51.262863064668501</v>
      </c>
      <c r="P263" s="104">
        <v>615.15435677602204</v>
      </c>
      <c r="Q263" s="104">
        <v>-6.3437139078683344</v>
      </c>
      <c r="R263" s="96"/>
      <c r="Y263" s="88"/>
      <c r="Z263" s="88"/>
      <c r="AA263" s="88"/>
    </row>
    <row r="264" spans="14:27" x14ac:dyDescent="0.3">
      <c r="N264" s="104">
        <v>0</v>
      </c>
      <c r="O264" s="104">
        <f t="shared" si="5"/>
        <v>51.263023069668712</v>
      </c>
      <c r="P264" s="104">
        <v>615.15627683602452</v>
      </c>
      <c r="Q264" s="104">
        <v>-6.3435530079006242</v>
      </c>
      <c r="R264" s="96"/>
      <c r="Y264" s="88"/>
      <c r="Z264" s="88"/>
      <c r="AA264" s="88"/>
    </row>
    <row r="265" spans="14:27" x14ac:dyDescent="0.3">
      <c r="N265" s="104">
        <v>0</v>
      </c>
      <c r="O265" s="104">
        <f t="shared" si="5"/>
        <v>51.26334307966912</v>
      </c>
      <c r="P265" s="104">
        <v>615.16011695602947</v>
      </c>
      <c r="Q265" s="104">
        <v>-6.3432312127208661</v>
      </c>
      <c r="R265" s="96"/>
      <c r="Y265" s="88"/>
      <c r="Z265" s="88"/>
      <c r="AA265" s="88"/>
    </row>
    <row r="266" spans="14:27" x14ac:dyDescent="0.3">
      <c r="N266" s="104">
        <v>0</v>
      </c>
      <c r="O266" s="104">
        <f t="shared" si="5"/>
        <v>51.263503084669331</v>
      </c>
      <c r="P266" s="104">
        <v>615.16203701603195</v>
      </c>
      <c r="Q266" s="104">
        <v>-6.3430703174033454</v>
      </c>
      <c r="R266" s="96"/>
      <c r="Y266" s="88"/>
      <c r="Z266" s="88"/>
      <c r="AA266" s="88"/>
    </row>
    <row r="267" spans="14:27" x14ac:dyDescent="0.3">
      <c r="N267" s="104">
        <v>0</v>
      </c>
      <c r="O267" s="104">
        <f t="shared" si="5"/>
        <v>51.563096940066963</v>
      </c>
      <c r="P267" s="104">
        <v>618.75716328080352</v>
      </c>
      <c r="Q267" s="104">
        <v>-6.0444425809844375</v>
      </c>
      <c r="R267" s="96"/>
      <c r="Y267" s="88"/>
      <c r="Z267" s="88"/>
      <c r="AA267" s="88"/>
    </row>
    <row r="268" spans="14:27" x14ac:dyDescent="0.3">
      <c r="N268" s="104">
        <v>0</v>
      </c>
      <c r="O268" s="104">
        <f t="shared" si="5"/>
        <v>51.563256945067167</v>
      </c>
      <c r="P268" s="104">
        <v>618.759083340806</v>
      </c>
      <c r="Q268" s="104">
        <v>-6.0442844929713004</v>
      </c>
      <c r="R268" s="96"/>
      <c r="Y268" s="88"/>
      <c r="Z268" s="88"/>
      <c r="AA268" s="88"/>
    </row>
    <row r="269" spans="14:27" x14ac:dyDescent="0.3">
      <c r="N269" s="104">
        <v>0</v>
      </c>
      <c r="O269" s="104">
        <f t="shared" si="5"/>
        <v>51.563576955067582</v>
      </c>
      <c r="P269" s="104">
        <v>618.76292346081095</v>
      </c>
      <c r="Q269" s="104">
        <v>-6.0439683212339972</v>
      </c>
      <c r="R269" s="96"/>
      <c r="Y269" s="88"/>
      <c r="Z269" s="88"/>
      <c r="AA269" s="88"/>
    </row>
    <row r="270" spans="14:27" x14ac:dyDescent="0.3">
      <c r="N270" s="104">
        <v>0</v>
      </c>
      <c r="O270" s="104">
        <f t="shared" si="5"/>
        <v>51.563736960067786</v>
      </c>
      <c r="P270" s="104">
        <v>618.76484352081343</v>
      </c>
      <c r="Q270" s="104">
        <v>-6.0438102376397111</v>
      </c>
      <c r="R270" s="96"/>
      <c r="Y270" s="88"/>
      <c r="Z270" s="88"/>
      <c r="AA270" s="88"/>
    </row>
    <row r="271" spans="14:27" x14ac:dyDescent="0.3">
      <c r="N271" s="104">
        <v>0</v>
      </c>
      <c r="O271" s="104">
        <f t="shared" si="5"/>
        <v>52.151452183684512</v>
      </c>
      <c r="P271" s="104">
        <v>625.81742620421414</v>
      </c>
      <c r="Q271" s="104">
        <v>-5.4731302937856654</v>
      </c>
      <c r="R271" s="96"/>
      <c r="Y271" s="88"/>
      <c r="Z271" s="88"/>
      <c r="AA271" s="88"/>
    </row>
    <row r="272" spans="14:27" x14ac:dyDescent="0.3">
      <c r="N272" s="104">
        <v>0</v>
      </c>
      <c r="O272" s="104">
        <f t="shared" si="5"/>
        <v>52.151612188684716</v>
      </c>
      <c r="P272" s="104">
        <v>625.81934626421662</v>
      </c>
      <c r="Q272" s="104">
        <v>-5.4729776223967903</v>
      </c>
      <c r="R272" s="96"/>
      <c r="Y272" s="88"/>
      <c r="Z272" s="88"/>
      <c r="AA272" s="88"/>
    </row>
    <row r="273" spans="14:27" x14ac:dyDescent="0.3">
      <c r="N273" s="104">
        <v>0</v>
      </c>
      <c r="O273" s="104">
        <f t="shared" si="5"/>
        <v>52.151932198685131</v>
      </c>
      <c r="P273" s="104">
        <v>625.82318638422157</v>
      </c>
      <c r="Q273" s="104">
        <v>-5.472672284028846</v>
      </c>
      <c r="R273" s="96"/>
      <c r="Y273" s="88"/>
      <c r="Z273" s="88"/>
      <c r="AA273" s="88"/>
    </row>
    <row r="274" spans="14:27" x14ac:dyDescent="0.3">
      <c r="N274" s="104">
        <v>0</v>
      </c>
      <c r="O274" s="104">
        <f t="shared" si="5"/>
        <v>52.152092203685335</v>
      </c>
      <c r="P274" s="104">
        <v>625.82510644422405</v>
      </c>
      <c r="Q274" s="104">
        <v>-5.4725196171309207</v>
      </c>
      <c r="R274" s="96"/>
      <c r="Y274" s="88"/>
      <c r="Z274" s="88"/>
      <c r="AA274" s="88"/>
    </row>
    <row r="275" spans="14:27" x14ac:dyDescent="0.3">
      <c r="N275" s="104">
        <v>0</v>
      </c>
      <c r="O275" s="104">
        <f t="shared" si="5"/>
        <v>53.013030004429083</v>
      </c>
      <c r="P275" s="104">
        <v>636.156360053149</v>
      </c>
      <c r="Q275" s="104">
        <v>-4.6719116331668573</v>
      </c>
      <c r="R275" s="96"/>
      <c r="Y275" s="88"/>
      <c r="Z275" s="88"/>
      <c r="AA275" s="88"/>
    </row>
    <row r="276" spans="14:27" x14ac:dyDescent="0.3">
      <c r="N276" s="104">
        <v>0</v>
      </c>
      <c r="O276" s="104">
        <f t="shared" si="5"/>
        <v>53.013190009429287</v>
      </c>
      <c r="P276" s="104">
        <v>636.15828011315148</v>
      </c>
      <c r="Q276" s="104">
        <v>-4.6717666703693794</v>
      </c>
      <c r="R276" s="96"/>
      <c r="Y276" s="88"/>
      <c r="Z276" s="88"/>
      <c r="AA276" s="88"/>
    </row>
    <row r="277" spans="14:27" x14ac:dyDescent="0.3">
      <c r="N277" s="104">
        <v>0</v>
      </c>
      <c r="O277" s="104">
        <f t="shared" si="5"/>
        <v>53.013510019429702</v>
      </c>
      <c r="P277" s="104">
        <v>636.16212023315643</v>
      </c>
      <c r="Q277" s="104">
        <v>-4.6714767493461622</v>
      </c>
      <c r="R277" s="96"/>
      <c r="Y277" s="88"/>
      <c r="Z277" s="88"/>
      <c r="AA277" s="88"/>
    </row>
    <row r="278" spans="14:27" x14ac:dyDescent="0.3">
      <c r="N278" s="104">
        <v>0</v>
      </c>
      <c r="O278" s="104">
        <f t="shared" si="5"/>
        <v>53.013670024429906</v>
      </c>
      <c r="P278" s="104">
        <v>636.16404029315891</v>
      </c>
      <c r="Q278" s="104">
        <v>-4.6713317908074998</v>
      </c>
      <c r="R278" s="96"/>
      <c r="Y278" s="88"/>
      <c r="Z278" s="88"/>
      <c r="AA278" s="88"/>
    </row>
    <row r="279" spans="14:27" x14ac:dyDescent="0.3">
      <c r="N279" s="104">
        <v>0</v>
      </c>
      <c r="O279" s="104">
        <f t="shared" si="5"/>
        <v>53.874607825173655</v>
      </c>
      <c r="P279" s="104">
        <v>646.49529390208386</v>
      </c>
      <c r="Q279" s="104">
        <v>-3.9114868913322312</v>
      </c>
      <c r="R279" s="96"/>
      <c r="Y279" s="88"/>
      <c r="Z279" s="88"/>
      <c r="AA279" s="88"/>
    </row>
    <row r="280" spans="14:27" x14ac:dyDescent="0.3">
      <c r="N280" s="104">
        <v>0</v>
      </c>
      <c r="O280" s="104">
        <f t="shared" si="5"/>
        <v>53.874767830173859</v>
      </c>
      <c r="P280" s="104">
        <v>646.49721396208633</v>
      </c>
      <c r="Q280" s="104">
        <v>-3.9113493717247394</v>
      </c>
      <c r="R280" s="96"/>
      <c r="Y280" s="88"/>
      <c r="Z280" s="88"/>
      <c r="AA280" s="88"/>
    </row>
    <row r="281" spans="14:27" x14ac:dyDescent="0.3">
      <c r="N281" s="104">
        <v>0</v>
      </c>
      <c r="O281" s="104">
        <f t="shared" si="5"/>
        <v>53.875087840174274</v>
      </c>
      <c r="P281" s="104">
        <v>646.50105408209129</v>
      </c>
      <c r="Q281" s="104">
        <v>-3.9110743367443348</v>
      </c>
      <c r="R281" s="96"/>
      <c r="Y281" s="88"/>
      <c r="Z281" s="88"/>
      <c r="AA281" s="88"/>
    </row>
    <row r="282" spans="14:27" x14ac:dyDescent="0.3">
      <c r="N282" s="104">
        <v>0</v>
      </c>
      <c r="O282" s="104">
        <f t="shared" si="5"/>
        <v>53.875247845174478</v>
      </c>
      <c r="P282" s="104">
        <v>646.50297414209376</v>
      </c>
      <c r="Q282" s="104">
        <v>-3.9109368211557367</v>
      </c>
      <c r="R282" s="96"/>
      <c r="Y282" s="88"/>
      <c r="Z282" s="88"/>
      <c r="AA282" s="88"/>
    </row>
    <row r="283" spans="14:27" x14ac:dyDescent="0.3">
      <c r="N283" s="104">
        <v>0</v>
      </c>
      <c r="O283" s="104">
        <f t="shared" si="5"/>
        <v>54.462963068791204</v>
      </c>
      <c r="P283" s="104">
        <v>653.55555682549448</v>
      </c>
      <c r="Q283" s="104">
        <v>-3.4149126886937538</v>
      </c>
      <c r="R283" s="96"/>
      <c r="Y283" s="88"/>
      <c r="Z283" s="88"/>
      <c r="AA283" s="88"/>
    </row>
    <row r="284" spans="14:27" x14ac:dyDescent="0.3">
      <c r="N284" s="104">
        <v>0</v>
      </c>
      <c r="O284" s="104">
        <f t="shared" si="5"/>
        <v>54.463123073791415</v>
      </c>
      <c r="P284" s="104">
        <v>653.55747688549695</v>
      </c>
      <c r="Q284" s="104">
        <v>-3.4147800992884001</v>
      </c>
      <c r="R284" s="96"/>
      <c r="Y284" s="88"/>
      <c r="Z284" s="88"/>
      <c r="AA284" s="88"/>
    </row>
    <row r="285" spans="14:27" x14ac:dyDescent="0.3">
      <c r="N285" s="104">
        <v>0</v>
      </c>
      <c r="O285" s="104">
        <f t="shared" si="5"/>
        <v>54.463443083791823</v>
      </c>
      <c r="P285" s="104">
        <v>653.56131700550191</v>
      </c>
      <c r="Q285" s="104">
        <v>-3.4145149244564763</v>
      </c>
      <c r="R285" s="96"/>
      <c r="Y285" s="88"/>
      <c r="Z285" s="88"/>
      <c r="AA285" s="88"/>
    </row>
    <row r="286" spans="14:27" x14ac:dyDescent="0.3">
      <c r="N286" s="104">
        <v>0</v>
      </c>
      <c r="O286" s="104">
        <f t="shared" si="5"/>
        <v>54.463603088792034</v>
      </c>
      <c r="P286" s="104">
        <v>653.56323706550438</v>
      </c>
      <c r="Q286" s="104">
        <v>-3.4143823388818575</v>
      </c>
      <c r="R286" s="96"/>
      <c r="Y286" s="88"/>
      <c r="Z286" s="88"/>
      <c r="AA286" s="88"/>
    </row>
    <row r="287" spans="14:27" x14ac:dyDescent="0.3">
      <c r="N287" s="104">
        <v>0</v>
      </c>
      <c r="O287" s="104">
        <f t="shared" si="5"/>
        <v>54.76319694418968</v>
      </c>
      <c r="P287" s="104">
        <v>657.15836333027619</v>
      </c>
      <c r="Q287" s="104">
        <v>-3.1684408385091061</v>
      </c>
      <c r="R287" s="96"/>
      <c r="Y287" s="88"/>
      <c r="Z287" s="88"/>
      <c r="AA287" s="88"/>
    </row>
    <row r="288" spans="14:27" x14ac:dyDescent="0.3">
      <c r="N288" s="104">
        <v>0</v>
      </c>
      <c r="O288" s="104">
        <f t="shared" si="5"/>
        <v>54.763356949189891</v>
      </c>
      <c r="P288" s="104">
        <v>657.16028339027866</v>
      </c>
      <c r="Q288" s="104">
        <v>-3.1683107172005762</v>
      </c>
      <c r="R288" s="96"/>
      <c r="Y288" s="88"/>
      <c r="Z288" s="88"/>
      <c r="AA288" s="88"/>
    </row>
    <row r="289" spans="14:27" x14ac:dyDescent="0.3">
      <c r="N289" s="104">
        <v>0</v>
      </c>
      <c r="O289" s="104">
        <f t="shared" si="5"/>
        <v>54.763676959190299</v>
      </c>
      <c r="P289" s="104">
        <v>657.16412351028362</v>
      </c>
      <c r="Q289" s="104">
        <v>-3.1680504784485493</v>
      </c>
      <c r="R289" s="96"/>
      <c r="Y289" s="88"/>
      <c r="Z289" s="88"/>
      <c r="AA289" s="88"/>
    </row>
    <row r="290" spans="14:27" x14ac:dyDescent="0.3">
      <c r="N290" s="104">
        <v>0</v>
      </c>
      <c r="O290" s="104">
        <f t="shared" si="5"/>
        <v>54.76383696419051</v>
      </c>
      <c r="P290" s="104">
        <v>657.16604357028609</v>
      </c>
      <c r="Q290" s="104">
        <v>-3.1679203609616877</v>
      </c>
      <c r="R290" s="96"/>
      <c r="Y290" s="88"/>
      <c r="Z290" s="88"/>
      <c r="AA290" s="88"/>
    </row>
    <row r="291" spans="14:27" x14ac:dyDescent="0.3">
      <c r="N291" s="104">
        <v>0</v>
      </c>
      <c r="O291" s="104">
        <f t="shared" si="5"/>
        <v>55.351552187807236</v>
      </c>
      <c r="P291" s="104">
        <v>664.21862625368681</v>
      </c>
      <c r="Q291" s="104">
        <v>-2.6987270024138681</v>
      </c>
      <c r="R291" s="96"/>
      <c r="Y291" s="88"/>
      <c r="Z291" s="88"/>
      <c r="AA291" s="88"/>
    </row>
    <row r="292" spans="14:27" x14ac:dyDescent="0.3">
      <c r="N292" s="104">
        <v>0</v>
      </c>
      <c r="O292" s="104">
        <f t="shared" si="5"/>
        <v>55.35171219280744</v>
      </c>
      <c r="P292" s="104">
        <v>664.22054631368928</v>
      </c>
      <c r="Q292" s="104">
        <v>-2.6986016241390303</v>
      </c>
      <c r="R292" s="96"/>
      <c r="Y292" s="88"/>
      <c r="Z292" s="88"/>
      <c r="AA292" s="88"/>
    </row>
    <row r="293" spans="14:27" x14ac:dyDescent="0.3">
      <c r="N293" s="104">
        <v>0</v>
      </c>
      <c r="O293" s="104">
        <f t="shared" si="5"/>
        <v>55.352032202807855</v>
      </c>
      <c r="P293" s="104">
        <v>664.22438643369424</v>
      </c>
      <c r="Q293" s="104">
        <v>-2.6983508715050277</v>
      </c>
      <c r="R293" s="96"/>
      <c r="Y293" s="88"/>
      <c r="Z293" s="88"/>
      <c r="AA293" s="88"/>
    </row>
    <row r="294" spans="14:27" x14ac:dyDescent="0.3">
      <c r="N294" s="104">
        <v>0</v>
      </c>
      <c r="O294" s="104">
        <f t="shared" si="5"/>
        <v>55.352192207808059</v>
      </c>
      <c r="P294" s="104">
        <v>664.22630649369671</v>
      </c>
      <c r="Q294" s="104">
        <v>-2.6982254971112383</v>
      </c>
      <c r="R294" s="96"/>
      <c r="Y294" s="88"/>
      <c r="Z294" s="88"/>
      <c r="AA294" s="88"/>
    </row>
    <row r="295" spans="14:27" x14ac:dyDescent="0.3">
      <c r="N295" s="104">
        <v>0</v>
      </c>
      <c r="O295" s="104">
        <f t="shared" si="5"/>
        <v>56.213130008551808</v>
      </c>
      <c r="P295" s="104">
        <v>674.55756010262166</v>
      </c>
      <c r="Q295" s="104">
        <v>-2.0418182180971982</v>
      </c>
      <c r="R295" s="96"/>
      <c r="Y295" s="88"/>
      <c r="Z295" s="88"/>
      <c r="AA295" s="88"/>
    </row>
    <row r="296" spans="14:27" x14ac:dyDescent="0.3">
      <c r="N296" s="104">
        <v>0</v>
      </c>
      <c r="O296" s="104">
        <f t="shared" si="5"/>
        <v>56.213290013552012</v>
      </c>
      <c r="P296" s="104">
        <v>674.55948016262414</v>
      </c>
      <c r="Q296" s="104">
        <v>-2.0416995620803178</v>
      </c>
      <c r="R296" s="96"/>
      <c r="Y296" s="88"/>
      <c r="Z296" s="88"/>
      <c r="AA296" s="88"/>
    </row>
    <row r="297" spans="14:27" x14ac:dyDescent="0.3">
      <c r="N297" s="104">
        <v>0</v>
      </c>
      <c r="O297" s="104">
        <f t="shared" si="5"/>
        <v>56.213610023552427</v>
      </c>
      <c r="P297" s="104">
        <v>674.56332028262909</v>
      </c>
      <c r="Q297" s="104">
        <v>-2.0414622538263174</v>
      </c>
      <c r="R297" s="96"/>
      <c r="Y297" s="88"/>
      <c r="Z297" s="88"/>
      <c r="AA297" s="88"/>
    </row>
    <row r="298" spans="14:27" x14ac:dyDescent="0.3">
      <c r="N298" s="104">
        <v>0</v>
      </c>
      <c r="O298" s="104">
        <f t="shared" si="5"/>
        <v>56.213770028552631</v>
      </c>
      <c r="P298" s="104">
        <v>674.56524034263157</v>
      </c>
      <c r="Q298" s="104">
        <v>-2.0413436015330788</v>
      </c>
      <c r="R298" s="96"/>
      <c r="Y298" s="88"/>
      <c r="Z298" s="88"/>
      <c r="AA298" s="88"/>
    </row>
    <row r="299" spans="14:27" x14ac:dyDescent="0.3">
      <c r="N299" s="104">
        <v>0</v>
      </c>
      <c r="O299" s="104">
        <f t="shared" si="5"/>
        <v>57.074707829296379</v>
      </c>
      <c r="P299" s="104">
        <v>684.89649395155652</v>
      </c>
      <c r="Q299" s="104">
        <v>-1.420391922266468</v>
      </c>
      <c r="R299" s="96"/>
      <c r="Y299" s="88"/>
      <c r="Z299" s="88"/>
      <c r="AA299" s="88"/>
    </row>
    <row r="300" spans="14:27" x14ac:dyDescent="0.3">
      <c r="N300" s="104">
        <v>0</v>
      </c>
      <c r="O300" s="104">
        <f t="shared" si="5"/>
        <v>57.074867834296583</v>
      </c>
      <c r="P300" s="104">
        <v>684.898414011559</v>
      </c>
      <c r="Q300" s="104">
        <v>-1.4202797231662316</v>
      </c>
      <c r="R300" s="96"/>
      <c r="Y300" s="88"/>
      <c r="Z300" s="88"/>
      <c r="AA300" s="88"/>
    </row>
    <row r="301" spans="14:27" x14ac:dyDescent="0.3">
      <c r="N301" s="104">
        <v>0</v>
      </c>
      <c r="O301" s="104">
        <f t="shared" si="5"/>
        <v>57.075187844296998</v>
      </c>
      <c r="P301" s="104">
        <v>684.90225413156395</v>
      </c>
      <c r="Q301" s="104">
        <v>-1.4200553281675781</v>
      </c>
      <c r="R301" s="96"/>
      <c r="Y301" s="88"/>
      <c r="Z301" s="88"/>
      <c r="AA301" s="88"/>
    </row>
    <row r="302" spans="14:27" x14ac:dyDescent="0.3">
      <c r="N302" s="104">
        <v>0</v>
      </c>
      <c r="O302" s="104">
        <f t="shared" si="5"/>
        <v>57.075347849297202</v>
      </c>
      <c r="P302" s="104">
        <v>684.90417419156643</v>
      </c>
      <c r="Q302" s="104">
        <v>-1.4199431322427571</v>
      </c>
      <c r="R302" s="96"/>
      <c r="Y302" s="88"/>
      <c r="Z302" s="88"/>
      <c r="AA302" s="88"/>
    </row>
    <row r="303" spans="14:27" x14ac:dyDescent="0.3">
      <c r="N303" s="104">
        <v>0</v>
      </c>
      <c r="O303" s="104">
        <f t="shared" si="5"/>
        <v>57.663063072913928</v>
      </c>
      <c r="P303" s="104">
        <v>691.95675687496714</v>
      </c>
      <c r="Q303" s="104">
        <v>-1.015685158612456</v>
      </c>
      <c r="R303" s="96"/>
      <c r="Y303" s="88"/>
      <c r="Z303" s="88"/>
      <c r="AA303" s="88"/>
    </row>
    <row r="304" spans="14:27" x14ac:dyDescent="0.3">
      <c r="N304" s="104">
        <v>0</v>
      </c>
      <c r="O304" s="104">
        <f t="shared" si="5"/>
        <v>57.663223077914132</v>
      </c>
      <c r="P304" s="104">
        <v>691.95867693496962</v>
      </c>
      <c r="Q304" s="104">
        <v>-1.0155772158570002</v>
      </c>
      <c r="R304" s="96"/>
      <c r="Y304" s="88"/>
      <c r="Z304" s="88"/>
      <c r="AA304" s="88"/>
    </row>
    <row r="305" spans="14:27" x14ac:dyDescent="0.3">
      <c r="N305" s="104">
        <v>0</v>
      </c>
      <c r="O305" s="104">
        <f t="shared" si="5"/>
        <v>57.663543087914547</v>
      </c>
      <c r="P305" s="104">
        <v>691.96251705497457</v>
      </c>
      <c r="Q305" s="104">
        <v>-1.0153613338675527</v>
      </c>
      <c r="R305" s="96"/>
      <c r="Y305" s="88"/>
      <c r="Z305" s="88"/>
      <c r="AA305" s="88"/>
    </row>
    <row r="306" spans="14:27" x14ac:dyDescent="0.3">
      <c r="N306" s="104">
        <v>0</v>
      </c>
      <c r="O306" s="104">
        <f t="shared" si="5"/>
        <v>57.663703092914751</v>
      </c>
      <c r="P306" s="104">
        <v>691.96443711497704</v>
      </c>
      <c r="Q306" s="104">
        <v>-1.0152533946425351</v>
      </c>
      <c r="R306" s="96"/>
      <c r="Y306" s="88"/>
      <c r="Z306" s="88"/>
      <c r="AA306" s="88"/>
    </row>
    <row r="307" spans="14:27" x14ac:dyDescent="0.3">
      <c r="N307" s="104">
        <v>0</v>
      </c>
      <c r="O307" s="104">
        <f t="shared" si="5"/>
        <v>57.963296948312383</v>
      </c>
      <c r="P307" s="104">
        <v>695.55956337974862</v>
      </c>
      <c r="Q307" s="104">
        <v>-0.81513821312798029</v>
      </c>
      <c r="R307" s="96"/>
      <c r="Y307" s="88"/>
      <c r="Z307" s="88"/>
      <c r="AA307" s="88"/>
    </row>
    <row r="308" spans="14:27" x14ac:dyDescent="0.3">
      <c r="N308" s="104">
        <v>0</v>
      </c>
      <c r="O308" s="104">
        <f t="shared" si="5"/>
        <v>57.963456953312594</v>
      </c>
      <c r="P308" s="104">
        <v>695.5614834397511</v>
      </c>
      <c r="Q308" s="104">
        <v>-0.8150323949853302</v>
      </c>
      <c r="R308" s="96"/>
      <c r="Y308" s="88"/>
      <c r="Z308" s="88"/>
      <c r="AA308" s="88"/>
    </row>
    <row r="309" spans="14:27" x14ac:dyDescent="0.3">
      <c r="N309" s="104">
        <v>0</v>
      </c>
      <c r="O309" s="104">
        <f t="shared" si="5"/>
        <v>57.963776963313002</v>
      </c>
      <c r="P309" s="104">
        <v>695.56532355975605</v>
      </c>
      <c r="Q309" s="104">
        <v>-0.81482076161291417</v>
      </c>
      <c r="R309" s="96"/>
      <c r="Y309" s="88"/>
      <c r="Z309" s="88"/>
      <c r="AA309" s="88"/>
    </row>
    <row r="310" spans="14:27" x14ac:dyDescent="0.3">
      <c r="N310" s="104">
        <v>0</v>
      </c>
      <c r="O310" s="104">
        <f t="shared" si="5"/>
        <v>57.963936968313213</v>
      </c>
      <c r="P310" s="104">
        <v>695.56724361975853</v>
      </c>
      <c r="Q310" s="104">
        <v>-0.81471494665365185</v>
      </c>
      <c r="R310" s="96"/>
      <c r="Y310" s="88"/>
      <c r="Z310" s="88"/>
      <c r="AA310" s="88"/>
    </row>
    <row r="311" spans="14:27" x14ac:dyDescent="0.3">
      <c r="N311" s="104">
        <v>0</v>
      </c>
      <c r="O311" s="104">
        <f t="shared" si="5"/>
        <v>58.551652191929939</v>
      </c>
      <c r="P311" s="104">
        <v>702.61982630315924</v>
      </c>
      <c r="Q311" s="104">
        <v>-0.43355100396267687</v>
      </c>
      <c r="R311" s="96"/>
      <c r="Y311" s="88"/>
      <c r="Z311" s="88"/>
      <c r="AA311" s="88"/>
    </row>
    <row r="312" spans="14:27" x14ac:dyDescent="0.3">
      <c r="N312" s="104">
        <v>0</v>
      </c>
      <c r="O312" s="104">
        <f t="shared" si="5"/>
        <v>58.551812196930143</v>
      </c>
      <c r="P312" s="104">
        <v>702.62174636316172</v>
      </c>
      <c r="Q312" s="104">
        <v>-0.43344925516456101</v>
      </c>
      <c r="R312" s="96"/>
      <c r="Y312" s="88"/>
      <c r="Z312" s="88"/>
      <c r="AA312" s="88"/>
    </row>
    <row r="313" spans="14:27" x14ac:dyDescent="0.3">
      <c r="N313" s="104">
        <v>0</v>
      </c>
      <c r="O313" s="104">
        <f t="shared" si="5"/>
        <v>58.552132206930558</v>
      </c>
      <c r="P313" s="104">
        <v>702.62558648316667</v>
      </c>
      <c r="Q313" s="104">
        <v>-0.4332457607255833</v>
      </c>
      <c r="R313" s="96"/>
      <c r="Y313" s="88"/>
      <c r="Z313" s="88"/>
      <c r="AA313" s="88"/>
    </row>
    <row r="314" spans="14:27" x14ac:dyDescent="0.3">
      <c r="N314" s="104">
        <v>0</v>
      </c>
      <c r="O314" s="104">
        <f t="shared" si="5"/>
        <v>58.552292211930762</v>
      </c>
      <c r="P314" s="104">
        <v>702.62750654316915</v>
      </c>
      <c r="Q314" s="104">
        <v>-0.43314401527020152</v>
      </c>
      <c r="R314" s="96"/>
      <c r="Y314" s="88"/>
      <c r="Z314" s="88"/>
      <c r="AA314" s="88"/>
    </row>
    <row r="315" spans="14:27" x14ac:dyDescent="0.3">
      <c r="N315" s="104">
        <v>0</v>
      </c>
      <c r="O315" s="104">
        <f t="shared" si="5"/>
        <v>59.413230012674511</v>
      </c>
      <c r="P315" s="104">
        <v>712.9587601520941</v>
      </c>
      <c r="Q315" s="104">
        <v>9.8775881801699938E-2</v>
      </c>
      <c r="R315" s="96"/>
      <c r="Y315" s="88"/>
      <c r="Z315" s="88"/>
      <c r="AA315" s="88"/>
    </row>
    <row r="316" spans="14:27" x14ac:dyDescent="0.3">
      <c r="N316" s="104">
        <v>0</v>
      </c>
      <c r="O316" s="104">
        <f t="shared" si="5"/>
        <v>59.413390017674715</v>
      </c>
      <c r="P316" s="104">
        <v>712.96068021209658</v>
      </c>
      <c r="Q316" s="104">
        <v>9.8871894751297873E-2</v>
      </c>
      <c r="R316" s="96"/>
      <c r="Y316" s="88"/>
      <c r="Z316" s="88"/>
      <c r="AA316" s="88"/>
    </row>
    <row r="317" spans="14:27" x14ac:dyDescent="0.3">
      <c r="N317" s="104">
        <v>0</v>
      </c>
      <c r="O317" s="104">
        <f t="shared" si="5"/>
        <v>59.41371002767513</v>
      </c>
      <c r="P317" s="104">
        <v>712.96452033210153</v>
      </c>
      <c r="Q317" s="104">
        <v>9.9063917568216198E-2</v>
      </c>
      <c r="R317" s="96"/>
      <c r="Y317" s="88"/>
      <c r="Z317" s="88"/>
      <c r="AA317" s="88"/>
    </row>
    <row r="318" spans="14:27" x14ac:dyDescent="0.3">
      <c r="N318" s="104">
        <v>0</v>
      </c>
      <c r="O318" s="104">
        <f t="shared" si="5"/>
        <v>59.413870032675334</v>
      </c>
      <c r="P318" s="104">
        <v>712.966440392104</v>
      </c>
      <c r="Q318" s="104">
        <v>9.9159927344871335E-2</v>
      </c>
      <c r="R318" s="96"/>
      <c r="Y318" s="88"/>
      <c r="Z318" s="88"/>
      <c r="AA318" s="88"/>
    </row>
    <row r="319" spans="14:27" x14ac:dyDescent="0.3">
      <c r="N319" s="104">
        <v>0</v>
      </c>
      <c r="O319" s="104">
        <f t="shared" si="5"/>
        <v>60.274807833419082</v>
      </c>
      <c r="P319" s="104">
        <v>723.29769400102896</v>
      </c>
      <c r="Q319" s="104">
        <v>0.60093177555832256</v>
      </c>
      <c r="R319" s="96"/>
      <c r="Y319" s="88"/>
      <c r="Z319" s="88"/>
      <c r="AA319" s="88"/>
    </row>
    <row r="320" spans="14:27" x14ac:dyDescent="0.3">
      <c r="N320" s="104">
        <v>0</v>
      </c>
      <c r="O320" s="104">
        <f t="shared" si="5"/>
        <v>60.274967838419286</v>
      </c>
      <c r="P320" s="104">
        <v>723.29961406103143</v>
      </c>
      <c r="Q320" s="104">
        <v>0.60102231828800257</v>
      </c>
      <c r="R320" s="96"/>
      <c r="Y320" s="88"/>
      <c r="Z320" s="88"/>
      <c r="AA320" s="88"/>
    </row>
    <row r="321" spans="14:27" x14ac:dyDescent="0.3">
      <c r="N321" s="104">
        <v>0</v>
      </c>
      <c r="O321" s="104">
        <f t="shared" si="5"/>
        <v>60.275287848419701</v>
      </c>
      <c r="P321" s="104">
        <v>723.30345418103639</v>
      </c>
      <c r="Q321" s="104">
        <v>0.60120340062162825</v>
      </c>
      <c r="R321" s="96"/>
      <c r="Y321" s="88"/>
      <c r="Z321" s="88"/>
      <c r="AA321" s="88"/>
    </row>
    <row r="322" spans="14:27" x14ac:dyDescent="0.3">
      <c r="N322" s="104">
        <v>0</v>
      </c>
      <c r="O322" s="104">
        <f t="shared" si="5"/>
        <v>60.275447853419905</v>
      </c>
      <c r="P322" s="104">
        <v>723.30537424103886</v>
      </c>
      <c r="Q322" s="104">
        <v>0.60129394028423633</v>
      </c>
      <c r="R322" s="96"/>
      <c r="Y322" s="88"/>
      <c r="Z322" s="88"/>
      <c r="AA322" s="88"/>
    </row>
    <row r="323" spans="14:27" x14ac:dyDescent="0.3">
      <c r="N323" s="104">
        <v>0</v>
      </c>
      <c r="O323" s="104">
        <f t="shared" si="5"/>
        <v>60.863163077036631</v>
      </c>
      <c r="P323" s="104">
        <v>730.35795692443958</v>
      </c>
      <c r="Q323" s="104">
        <v>0.9272430463638841</v>
      </c>
      <c r="R323" s="96"/>
      <c r="Y323" s="88"/>
      <c r="Z323" s="88"/>
      <c r="AA323" s="88"/>
    </row>
    <row r="324" spans="14:27" x14ac:dyDescent="0.3">
      <c r="N324" s="104">
        <v>0</v>
      </c>
      <c r="O324" s="104">
        <f t="shared" si="5"/>
        <v>60.863323082036835</v>
      </c>
      <c r="P324" s="104">
        <v>730.35987698444205</v>
      </c>
      <c r="Q324" s="104">
        <v>0.92733000611245586</v>
      </c>
      <c r="R324" s="96"/>
      <c r="Y324" s="88"/>
      <c r="Z324" s="88"/>
      <c r="AA324" s="88"/>
    </row>
    <row r="325" spans="14:27" x14ac:dyDescent="0.3">
      <c r="N325" s="104">
        <v>0</v>
      </c>
      <c r="O325" s="104">
        <f t="shared" si="5"/>
        <v>60.86364309203725</v>
      </c>
      <c r="P325" s="104">
        <v>730.36371710444701</v>
      </c>
      <c r="Q325" s="104">
        <v>0.92750392259237913</v>
      </c>
      <c r="R325" s="96"/>
      <c r="Y325" s="88"/>
      <c r="Z325" s="88"/>
      <c r="AA325" s="88"/>
    </row>
    <row r="326" spans="14:27" x14ac:dyDescent="0.3">
      <c r="N326" s="104">
        <v>0</v>
      </c>
      <c r="O326" s="104">
        <f t="shared" si="5"/>
        <v>60.863803097037454</v>
      </c>
      <c r="P326" s="104">
        <v>730.36563716444948</v>
      </c>
      <c r="Q326" s="104">
        <v>0.9275908793633505</v>
      </c>
      <c r="R326" s="96"/>
      <c r="Y326" s="88"/>
      <c r="Z326" s="88"/>
      <c r="AA326" s="88"/>
    </row>
    <row r="327" spans="14:27" x14ac:dyDescent="0.3">
      <c r="N327" s="104">
        <v>0</v>
      </c>
      <c r="O327" s="104">
        <f t="shared" ref="O327:O390" si="6">P327/12</f>
        <v>61.163396952435107</v>
      </c>
      <c r="P327" s="104">
        <v>733.96076342922129</v>
      </c>
      <c r="Q327" s="104">
        <v>0.98308390474902296</v>
      </c>
      <c r="R327" s="96"/>
      <c r="Y327" s="88"/>
      <c r="Z327" s="88"/>
      <c r="AA327" s="88"/>
    </row>
    <row r="328" spans="14:27" x14ac:dyDescent="0.3">
      <c r="N328" s="104">
        <v>0</v>
      </c>
      <c r="O328" s="104">
        <f t="shared" si="6"/>
        <v>61.163556957435311</v>
      </c>
      <c r="P328" s="104">
        <v>733.96268348922376</v>
      </c>
      <c r="Q328" s="104">
        <v>0.98316945779980358</v>
      </c>
      <c r="R328" s="96"/>
      <c r="Y328" s="88"/>
      <c r="Z328" s="88"/>
      <c r="AA328" s="88"/>
    </row>
    <row r="329" spans="14:27" x14ac:dyDescent="0.3">
      <c r="N329" s="104">
        <v>0</v>
      </c>
      <c r="O329" s="104">
        <f t="shared" si="6"/>
        <v>61.163876967435726</v>
      </c>
      <c r="P329" s="104">
        <v>733.96652360922872</v>
      </c>
      <c r="Q329" s="104">
        <v>0.98334056105358059</v>
      </c>
      <c r="R329" s="96"/>
      <c r="Y329" s="88"/>
      <c r="Z329" s="88"/>
      <c r="AA329" s="88"/>
    </row>
    <row r="330" spans="14:27" x14ac:dyDescent="0.3">
      <c r="N330" s="104">
        <v>0</v>
      </c>
      <c r="O330" s="104">
        <f t="shared" si="6"/>
        <v>61.16403697243593</v>
      </c>
      <c r="P330" s="104">
        <v>733.96844366923119</v>
      </c>
      <c r="Q330" s="104">
        <v>0.98342611119117862</v>
      </c>
      <c r="R330" s="96"/>
      <c r="Y330" s="88"/>
      <c r="Z330" s="88"/>
      <c r="AA330" s="88"/>
    </row>
    <row r="331" spans="14:27" x14ac:dyDescent="0.3">
      <c r="N331" s="104">
        <v>0</v>
      </c>
      <c r="O331" s="104">
        <f t="shared" si="6"/>
        <v>61.751752196052657</v>
      </c>
      <c r="P331" s="104">
        <v>741.02102635263191</v>
      </c>
      <c r="Q331" s="104">
        <v>1.2914170379549432</v>
      </c>
      <c r="R331" s="96"/>
      <c r="Y331" s="88"/>
      <c r="Z331" s="88"/>
      <c r="AA331" s="88"/>
    </row>
    <row r="332" spans="14:27" x14ac:dyDescent="0.3">
      <c r="N332" s="104">
        <v>0</v>
      </c>
      <c r="O332" s="104">
        <f t="shared" si="6"/>
        <v>61.751912201052868</v>
      </c>
      <c r="P332" s="104">
        <v>741.02294641263438</v>
      </c>
      <c r="Q332" s="104">
        <v>1.2914992118576976</v>
      </c>
      <c r="R332" s="96"/>
      <c r="Y332" s="88"/>
      <c r="Z332" s="88"/>
      <c r="AA332" s="88"/>
    </row>
    <row r="333" spans="14:27" x14ac:dyDescent="0.3">
      <c r="N333" s="104">
        <v>0</v>
      </c>
      <c r="O333" s="104">
        <f t="shared" si="6"/>
        <v>61.752232211053276</v>
      </c>
      <c r="P333" s="104">
        <v>741.02678653263933</v>
      </c>
      <c r="Q333" s="104">
        <v>1.2916635570290964</v>
      </c>
      <c r="R333" s="96"/>
      <c r="Y333" s="88"/>
      <c r="Z333" s="88"/>
      <c r="AA333" s="88"/>
    </row>
    <row r="334" spans="14:27" x14ac:dyDescent="0.3">
      <c r="N334" s="104">
        <v>0</v>
      </c>
      <c r="O334" s="104">
        <f t="shared" si="6"/>
        <v>61.752392216053487</v>
      </c>
      <c r="P334" s="104">
        <v>741.02870659264181</v>
      </c>
      <c r="Q334" s="104">
        <v>1.2917457284557656</v>
      </c>
      <c r="R334" s="96"/>
      <c r="Y334" s="88"/>
      <c r="Z334" s="88"/>
      <c r="AA334" s="88"/>
    </row>
    <row r="335" spans="14:27" x14ac:dyDescent="0.3">
      <c r="N335" s="104">
        <v>0</v>
      </c>
      <c r="O335" s="104">
        <f t="shared" si="6"/>
        <v>62.613330016797228</v>
      </c>
      <c r="P335" s="104">
        <v>751.35996020156676</v>
      </c>
      <c r="Q335" s="104">
        <v>1.7211309496258025</v>
      </c>
      <c r="R335" s="96"/>
      <c r="Y335" s="88"/>
      <c r="Z335" s="88"/>
      <c r="AA335" s="88"/>
    </row>
    <row r="336" spans="14:27" x14ac:dyDescent="0.3">
      <c r="N336" s="104">
        <v>0</v>
      </c>
      <c r="O336" s="104">
        <f t="shared" si="6"/>
        <v>62.613490021797439</v>
      </c>
      <c r="P336" s="104">
        <v>751.36188026156924</v>
      </c>
      <c r="Q336" s="104">
        <v>1.7212084312943006</v>
      </c>
      <c r="R336" s="96"/>
      <c r="Y336" s="88"/>
      <c r="Z336" s="88"/>
      <c r="AA336" s="88"/>
    </row>
    <row r="337" spans="14:27" x14ac:dyDescent="0.3">
      <c r="N337" s="104">
        <v>0</v>
      </c>
      <c r="O337" s="104">
        <f t="shared" si="6"/>
        <v>62.613810031797847</v>
      </c>
      <c r="P337" s="104">
        <v>751.36572038157419</v>
      </c>
      <c r="Q337" s="104">
        <v>1.7213633918018303</v>
      </c>
      <c r="R337" s="96"/>
      <c r="Y337" s="88"/>
      <c r="Z337" s="88"/>
      <c r="AA337" s="88"/>
    </row>
    <row r="338" spans="14:27" x14ac:dyDescent="0.3">
      <c r="N338" s="104">
        <v>0</v>
      </c>
      <c r="O338" s="104">
        <f t="shared" si="6"/>
        <v>62.613970036798058</v>
      </c>
      <c r="P338" s="104">
        <v>751.36764044157667</v>
      </c>
      <c r="Q338" s="104">
        <v>1.7214408708841802</v>
      </c>
      <c r="R338" s="96"/>
      <c r="Y338" s="88"/>
      <c r="Z338" s="88"/>
      <c r="AA338" s="88"/>
    </row>
    <row r="339" spans="14:27" x14ac:dyDescent="0.3">
      <c r="N339" s="104">
        <v>0</v>
      </c>
      <c r="O339" s="104">
        <f t="shared" si="6"/>
        <v>63.474907837541799</v>
      </c>
      <c r="P339" s="104">
        <v>761.69889405050162</v>
      </c>
      <c r="Q339" s="104">
        <v>2.1263962138998096</v>
      </c>
      <c r="R339" s="96"/>
      <c r="Y339" s="88"/>
      <c r="Z339" s="88"/>
      <c r="AA339" s="88"/>
    </row>
    <row r="340" spans="14:27" x14ac:dyDescent="0.3">
      <c r="N340" s="104">
        <v>0</v>
      </c>
      <c r="O340" s="104">
        <f t="shared" si="6"/>
        <v>63.475067842542011</v>
      </c>
      <c r="P340" s="104">
        <v>761.7008141105041</v>
      </c>
      <c r="Q340" s="104">
        <v>2.1264693070252463</v>
      </c>
      <c r="R340" s="96"/>
      <c r="Y340" s="88"/>
      <c r="Z340" s="88"/>
      <c r="AA340" s="88"/>
    </row>
    <row r="341" spans="14:27" x14ac:dyDescent="0.3">
      <c r="N341" s="104">
        <v>0</v>
      </c>
      <c r="O341" s="104">
        <f t="shared" si="6"/>
        <v>63.475387852542418</v>
      </c>
      <c r="P341" s="104">
        <v>761.70465423050905</v>
      </c>
      <c r="Q341" s="104">
        <v>2.1266154911160555</v>
      </c>
      <c r="R341" s="96"/>
      <c r="Y341" s="88"/>
      <c r="Z341" s="88"/>
      <c r="AA341" s="88"/>
    </row>
    <row r="342" spans="14:27" x14ac:dyDescent="0.3">
      <c r="N342" s="104">
        <v>0</v>
      </c>
      <c r="O342" s="104">
        <f t="shared" si="6"/>
        <v>63.47554785754263</v>
      </c>
      <c r="P342" s="104">
        <v>761.70657429051153</v>
      </c>
      <c r="Q342" s="104">
        <v>2.1266885820629682</v>
      </c>
      <c r="R342" s="96"/>
      <c r="Y342" s="88"/>
      <c r="Z342" s="88"/>
      <c r="AA342" s="88"/>
    </row>
    <row r="343" spans="14:27" x14ac:dyDescent="0.3">
      <c r="N343" s="104">
        <v>0</v>
      </c>
      <c r="O343" s="104">
        <f t="shared" si="6"/>
        <v>64.063263081159349</v>
      </c>
      <c r="P343" s="104">
        <v>768.75915697391224</v>
      </c>
      <c r="Q343" s="104">
        <v>2.3899372520211841</v>
      </c>
      <c r="R343" s="96"/>
      <c r="Y343" s="88"/>
      <c r="Z343" s="88"/>
      <c r="AA343" s="88"/>
    </row>
    <row r="344" spans="14:27" x14ac:dyDescent="0.3">
      <c r="N344" s="104">
        <v>0</v>
      </c>
      <c r="O344" s="104">
        <f t="shared" si="6"/>
        <v>64.06342308615956</v>
      </c>
      <c r="P344" s="104">
        <v>768.76107703391472</v>
      </c>
      <c r="Q344" s="104">
        <v>2.3900075232723452</v>
      </c>
      <c r="R344" s="96"/>
      <c r="Y344" s="88"/>
      <c r="Z344" s="88"/>
      <c r="AA344" s="88"/>
    </row>
    <row r="345" spans="14:27" x14ac:dyDescent="0.3">
      <c r="N345" s="104">
        <v>0</v>
      </c>
      <c r="O345" s="104">
        <f t="shared" si="6"/>
        <v>64.063743096159968</v>
      </c>
      <c r="P345" s="104">
        <v>768.76491715391967</v>
      </c>
      <c r="Q345" s="104">
        <v>2.3901480634667678</v>
      </c>
      <c r="R345" s="96"/>
      <c r="Y345" s="88"/>
      <c r="Z345" s="88"/>
      <c r="AA345" s="88"/>
    </row>
    <row r="346" spans="14:27" x14ac:dyDescent="0.3">
      <c r="N346" s="104">
        <v>0</v>
      </c>
      <c r="O346" s="104">
        <f t="shared" si="6"/>
        <v>64.063903101160179</v>
      </c>
      <c r="P346" s="104">
        <v>768.76683721392214</v>
      </c>
      <c r="Q346" s="104">
        <v>2.3902183323861976</v>
      </c>
      <c r="R346" s="96"/>
      <c r="Y346" s="88"/>
      <c r="Z346" s="88"/>
      <c r="AA346" s="88"/>
    </row>
    <row r="347" spans="14:27" x14ac:dyDescent="0.3">
      <c r="N347" s="104">
        <v>0</v>
      </c>
      <c r="O347" s="104">
        <f t="shared" si="6"/>
        <v>64.36349695655781</v>
      </c>
      <c r="P347" s="104">
        <v>772.36196347869372</v>
      </c>
      <c r="Q347" s="104">
        <v>2.5204895042062248</v>
      </c>
      <c r="R347" s="96"/>
      <c r="Y347" s="88"/>
      <c r="Z347" s="88"/>
      <c r="AA347" s="88"/>
    </row>
    <row r="348" spans="14:27" x14ac:dyDescent="0.3">
      <c r="N348" s="104">
        <v>0</v>
      </c>
      <c r="O348" s="104">
        <f t="shared" si="6"/>
        <v>64.363656961558021</v>
      </c>
      <c r="P348" s="104">
        <v>772.3638835386962</v>
      </c>
      <c r="Q348" s="104">
        <v>2.5205583899731607</v>
      </c>
      <c r="R348" s="96"/>
      <c r="Y348" s="88"/>
      <c r="Z348" s="88"/>
      <c r="AA348" s="88"/>
    </row>
    <row r="349" spans="14:27" x14ac:dyDescent="0.3">
      <c r="N349" s="104">
        <v>0</v>
      </c>
      <c r="O349" s="104">
        <f t="shared" si="6"/>
        <v>64.363976971558429</v>
      </c>
      <c r="P349" s="104">
        <v>772.36772365870115</v>
      </c>
      <c r="Q349" s="104">
        <v>2.5206961593707859</v>
      </c>
      <c r="R349" s="96"/>
      <c r="Y349" s="88"/>
      <c r="Z349" s="88"/>
      <c r="AA349" s="88"/>
    </row>
    <row r="350" spans="14:27" x14ac:dyDescent="0.3">
      <c r="N350" s="104">
        <v>0</v>
      </c>
      <c r="O350" s="104">
        <f t="shared" si="6"/>
        <v>64.36413697655864</v>
      </c>
      <c r="P350" s="104">
        <v>772.36964371870363</v>
      </c>
      <c r="Q350" s="104">
        <v>2.5207650429444897</v>
      </c>
      <c r="R350" s="96"/>
      <c r="Y350" s="88"/>
      <c r="Z350" s="88"/>
      <c r="AA350" s="88"/>
    </row>
    <row r="351" spans="14:27" x14ac:dyDescent="0.3">
      <c r="N351" s="104">
        <v>0</v>
      </c>
      <c r="O351" s="104">
        <f t="shared" si="6"/>
        <v>64.951852200175367</v>
      </c>
      <c r="P351" s="104">
        <v>779.42222640210434</v>
      </c>
      <c r="Q351" s="104">
        <v>2.7689530318122593</v>
      </c>
      <c r="R351" s="96"/>
      <c r="Y351" s="88"/>
      <c r="Z351" s="88"/>
      <c r="AA351" s="88"/>
    </row>
    <row r="352" spans="14:27" x14ac:dyDescent="0.3">
      <c r="N352" s="104">
        <v>0</v>
      </c>
      <c r="O352" s="104">
        <f t="shared" si="6"/>
        <v>64.952012205175564</v>
      </c>
      <c r="P352" s="104">
        <v>779.42414646210682</v>
      </c>
      <c r="Q352" s="104">
        <v>2.7690193097228075</v>
      </c>
      <c r="R352" s="96"/>
      <c r="Y352" s="88"/>
      <c r="Z352" s="88"/>
      <c r="AA352" s="88"/>
    </row>
    <row r="353" spans="14:27" x14ac:dyDescent="0.3">
      <c r="N353" s="104">
        <v>0</v>
      </c>
      <c r="O353" s="104">
        <f t="shared" si="6"/>
        <v>64.952332215175986</v>
      </c>
      <c r="P353" s="104">
        <v>779.42798658211177</v>
      </c>
      <c r="Q353" s="104">
        <v>2.7691518635954537</v>
      </c>
      <c r="R353" s="96"/>
      <c r="Y353" s="88"/>
      <c r="Z353" s="88"/>
      <c r="AA353" s="88"/>
    </row>
    <row r="354" spans="14:27" x14ac:dyDescent="0.3">
      <c r="N354" s="104">
        <v>0</v>
      </c>
      <c r="O354" s="104">
        <f t="shared" si="6"/>
        <v>64.952492220176183</v>
      </c>
      <c r="P354" s="104">
        <v>779.42990664211425</v>
      </c>
      <c r="Q354" s="104">
        <v>2.7692181393783102</v>
      </c>
      <c r="R354" s="96"/>
      <c r="Y354" s="88"/>
      <c r="Z354" s="88"/>
      <c r="AA354" s="88"/>
    </row>
    <row r="355" spans="14:27" x14ac:dyDescent="0.3">
      <c r="N355" s="104">
        <v>0</v>
      </c>
      <c r="O355" s="104">
        <f t="shared" si="6"/>
        <v>65.813430020919938</v>
      </c>
      <c r="P355" s="104">
        <v>789.7611602510392</v>
      </c>
      <c r="Q355" s="104">
        <v>3.1161117572951866</v>
      </c>
      <c r="R355" s="96"/>
      <c r="Y355" s="88"/>
      <c r="Z355" s="88"/>
      <c r="AA355" s="88"/>
    </row>
    <row r="356" spans="14:27" x14ac:dyDescent="0.3">
      <c r="N356" s="104">
        <v>0</v>
      </c>
      <c r="O356" s="104">
        <f t="shared" si="6"/>
        <v>65.813590025920135</v>
      </c>
      <c r="P356" s="104">
        <v>789.76308031104168</v>
      </c>
      <c r="Q356" s="104">
        <v>3.1161744722750484</v>
      </c>
      <c r="R356" s="96"/>
      <c r="Y356" s="88"/>
      <c r="Z356" s="88"/>
      <c r="AA356" s="88"/>
    </row>
    <row r="357" spans="14:27" x14ac:dyDescent="0.3">
      <c r="N357" s="104">
        <v>0</v>
      </c>
      <c r="O357" s="104">
        <f t="shared" si="6"/>
        <v>65.813910035920557</v>
      </c>
      <c r="P357" s="104">
        <v>789.76692043104663</v>
      </c>
      <c r="Q357" s="104">
        <v>3.1162999001279985</v>
      </c>
      <c r="R357" s="96"/>
      <c r="Y357" s="88"/>
      <c r="Z357" s="88"/>
      <c r="AA357" s="88"/>
    </row>
    <row r="358" spans="14:27" x14ac:dyDescent="0.3">
      <c r="N358" s="104">
        <v>0</v>
      </c>
      <c r="O358" s="104">
        <f t="shared" si="6"/>
        <v>65.814070040920754</v>
      </c>
      <c r="P358" s="104">
        <v>789.7688404910491</v>
      </c>
      <c r="Q358" s="104">
        <v>3.1163626130545339</v>
      </c>
      <c r="R358" s="96"/>
      <c r="Y358" s="88"/>
      <c r="Z358" s="88"/>
      <c r="AA358" s="88"/>
    </row>
    <row r="359" spans="14:27" x14ac:dyDescent="0.3">
      <c r="N359" s="104">
        <v>0</v>
      </c>
      <c r="O359" s="104">
        <f t="shared" si="6"/>
        <v>66.67500784166451</v>
      </c>
      <c r="P359" s="104">
        <v>800.10009409997406</v>
      </c>
      <c r="Q359" s="104">
        <v>3.4449029490619409</v>
      </c>
      <c r="R359" s="96"/>
      <c r="Y359" s="88"/>
      <c r="Z359" s="88"/>
      <c r="AA359" s="88"/>
    </row>
    <row r="360" spans="14:27" x14ac:dyDescent="0.3">
      <c r="N360" s="104">
        <v>0</v>
      </c>
      <c r="O360" s="104">
        <f t="shared" si="6"/>
        <v>66.675167846664706</v>
      </c>
      <c r="P360" s="104">
        <v>800.10201415997653</v>
      </c>
      <c r="Q360" s="104">
        <v>3.444962404954083</v>
      </c>
      <c r="R360" s="96"/>
      <c r="Y360" s="88"/>
      <c r="Z360" s="88"/>
      <c r="AA360" s="88"/>
    </row>
    <row r="361" spans="14:27" x14ac:dyDescent="0.3">
      <c r="N361" s="104">
        <v>0</v>
      </c>
      <c r="O361" s="104">
        <f t="shared" si="6"/>
        <v>66.675487856665129</v>
      </c>
      <c r="P361" s="104">
        <v>800.10585427998149</v>
      </c>
      <c r="Q361" s="104">
        <v>3.4450813150321409</v>
      </c>
      <c r="R361" s="96"/>
      <c r="Y361" s="88"/>
      <c r="Z361" s="88"/>
      <c r="AA361" s="88"/>
    </row>
    <row r="362" spans="14:27" x14ac:dyDescent="0.3">
      <c r="N362" s="104">
        <v>0</v>
      </c>
      <c r="O362" s="104">
        <f t="shared" si="6"/>
        <v>66.675647861665325</v>
      </c>
      <c r="P362" s="104">
        <v>800.10777433998396</v>
      </c>
      <c r="Q362" s="104">
        <v>3.445140769120556</v>
      </c>
      <c r="R362" s="96"/>
      <c r="Y362" s="88"/>
      <c r="Z362" s="88"/>
      <c r="AA362" s="88"/>
    </row>
    <row r="363" spans="14:27" x14ac:dyDescent="0.3">
      <c r="N363" s="104">
        <v>0</v>
      </c>
      <c r="O363" s="104">
        <f t="shared" si="6"/>
        <v>67.263363085282052</v>
      </c>
      <c r="P363" s="104">
        <v>807.16035702338468</v>
      </c>
      <c r="Q363" s="104">
        <v>3.6597155223748814</v>
      </c>
      <c r="R363" s="96"/>
      <c r="Y363" s="88"/>
      <c r="Z363" s="88"/>
      <c r="AA363" s="88"/>
    </row>
    <row r="364" spans="14:27" x14ac:dyDescent="0.3">
      <c r="N364" s="104">
        <v>0</v>
      </c>
      <c r="O364" s="104">
        <f t="shared" si="6"/>
        <v>67.263523090282263</v>
      </c>
      <c r="P364" s="104">
        <v>807.16227708338715</v>
      </c>
      <c r="Q364" s="104">
        <v>3.6597729274627966</v>
      </c>
      <c r="R364" s="96"/>
      <c r="Y364" s="88"/>
      <c r="Z364" s="88"/>
      <c r="AA364" s="88"/>
    </row>
    <row r="365" spans="14:27" x14ac:dyDescent="0.3">
      <c r="N365" s="104">
        <v>0</v>
      </c>
      <c r="O365" s="104">
        <f t="shared" si="6"/>
        <v>67.263843100282671</v>
      </c>
      <c r="P365" s="104">
        <v>807.1661172033921</v>
      </c>
      <c r="Q365" s="104">
        <v>3.6598877359462847</v>
      </c>
      <c r="R365" s="96"/>
      <c r="Y365" s="88"/>
      <c r="Z365" s="88"/>
      <c r="AA365" s="88"/>
    </row>
    <row r="366" spans="14:27" x14ac:dyDescent="0.3">
      <c r="N366" s="104">
        <v>0</v>
      </c>
      <c r="O366" s="104">
        <f t="shared" si="6"/>
        <v>67.264003105282882</v>
      </c>
      <c r="P366" s="104">
        <v>807.16803726339458</v>
      </c>
      <c r="Q366" s="104">
        <v>3.6599451393519331</v>
      </c>
      <c r="R366" s="96"/>
      <c r="Y366" s="88"/>
      <c r="Z366" s="88"/>
      <c r="AA366" s="88"/>
    </row>
    <row r="367" spans="14:27" x14ac:dyDescent="0.3">
      <c r="N367" s="104">
        <v>0</v>
      </c>
      <c r="O367" s="104">
        <f t="shared" si="6"/>
        <v>67.563596960680528</v>
      </c>
      <c r="P367" s="104">
        <v>810.76316352816639</v>
      </c>
      <c r="Q367" s="104">
        <v>3.7664947168979523</v>
      </c>
      <c r="R367" s="96"/>
      <c r="Y367" s="88"/>
      <c r="Z367" s="88"/>
      <c r="AA367" s="88"/>
    </row>
    <row r="368" spans="14:27" x14ac:dyDescent="0.3">
      <c r="N368" s="104">
        <v>0</v>
      </c>
      <c r="O368" s="104">
        <f t="shared" si="6"/>
        <v>67.563756965680739</v>
      </c>
      <c r="P368" s="104">
        <v>810.76508358816886</v>
      </c>
      <c r="Q368" s="104">
        <v>3.7665511301403285</v>
      </c>
      <c r="R368" s="96"/>
      <c r="Y368" s="88"/>
      <c r="Z368" s="88"/>
      <c r="AA368" s="88"/>
    </row>
    <row r="369" spans="14:27" x14ac:dyDescent="0.3">
      <c r="N369" s="104">
        <v>0</v>
      </c>
      <c r="O369" s="104">
        <f t="shared" si="6"/>
        <v>67.564076975681147</v>
      </c>
      <c r="P369" s="104">
        <v>810.76892370817382</v>
      </c>
      <c r="Q369" s="104">
        <v>3.766663954938906</v>
      </c>
      <c r="R369" s="96"/>
      <c r="Y369" s="88"/>
      <c r="Z369" s="88"/>
      <c r="AA369" s="88"/>
    </row>
    <row r="370" spans="14:27" x14ac:dyDescent="0.3">
      <c r="N370" s="104">
        <v>0</v>
      </c>
      <c r="O370" s="104">
        <f t="shared" si="6"/>
        <v>67.564236980681358</v>
      </c>
      <c r="P370" s="104">
        <v>810.77084376817629</v>
      </c>
      <c r="Q370" s="104">
        <v>3.7667203666012909</v>
      </c>
      <c r="R370" s="96"/>
      <c r="Y370" s="88"/>
      <c r="Z370" s="88"/>
      <c r="AA370" s="88"/>
    </row>
    <row r="371" spans="14:27" x14ac:dyDescent="0.3">
      <c r="N371" s="104">
        <v>0</v>
      </c>
      <c r="O371" s="104">
        <f t="shared" si="6"/>
        <v>68.151952204298084</v>
      </c>
      <c r="P371" s="104">
        <v>817.82342645157701</v>
      </c>
      <c r="Q371" s="104">
        <v>3.9705126611732027</v>
      </c>
      <c r="R371" s="96"/>
      <c r="Y371" s="88"/>
      <c r="Z371" s="88"/>
      <c r="AA371" s="88"/>
    </row>
    <row r="372" spans="14:27" x14ac:dyDescent="0.3">
      <c r="N372" s="104">
        <v>0</v>
      </c>
      <c r="O372" s="104">
        <f t="shared" si="6"/>
        <v>68.152112209298295</v>
      </c>
      <c r="P372" s="104">
        <v>817.82534651157948</v>
      </c>
      <c r="Q372" s="104">
        <v>3.9705672376344268</v>
      </c>
      <c r="R372" s="96"/>
      <c r="Y372" s="88"/>
      <c r="Z372" s="88"/>
      <c r="AA372" s="88"/>
    </row>
    <row r="373" spans="14:27" x14ac:dyDescent="0.3">
      <c r="N373" s="104">
        <v>0</v>
      </c>
      <c r="O373" s="104">
        <f t="shared" si="6"/>
        <v>68.152432219298703</v>
      </c>
      <c r="P373" s="104">
        <v>817.82918663158443</v>
      </c>
      <c r="Q373" s="104">
        <v>3.9706763893290429</v>
      </c>
      <c r="R373" s="96"/>
      <c r="Y373" s="88"/>
      <c r="Z373" s="88"/>
      <c r="AA373" s="88"/>
    </row>
    <row r="374" spans="14:27" x14ac:dyDescent="0.3">
      <c r="N374" s="104">
        <v>0</v>
      </c>
      <c r="O374" s="104">
        <f t="shared" si="6"/>
        <v>68.152592224298914</v>
      </c>
      <c r="P374" s="104">
        <v>817.83110669158691</v>
      </c>
      <c r="Q374" s="104">
        <v>3.9707309644014686</v>
      </c>
      <c r="R374" s="96"/>
      <c r="Y374" s="88"/>
      <c r="Z374" s="88"/>
      <c r="AA374" s="88"/>
    </row>
    <row r="375" spans="14:27" x14ac:dyDescent="0.3">
      <c r="N375" s="104">
        <v>0</v>
      </c>
      <c r="O375" s="104">
        <f t="shared" si="6"/>
        <v>69.013530025042655</v>
      </c>
      <c r="P375" s="104">
        <v>828.16236030051186</v>
      </c>
      <c r="Q375" s="104">
        <v>4.2577029179982162</v>
      </c>
      <c r="R375" s="96"/>
      <c r="Y375" s="88"/>
      <c r="Z375" s="88"/>
      <c r="AA375" s="88"/>
    </row>
    <row r="376" spans="14:27" x14ac:dyDescent="0.3">
      <c r="N376" s="104">
        <v>0</v>
      </c>
      <c r="O376" s="104">
        <f t="shared" si="6"/>
        <v>69.013690030042866</v>
      </c>
      <c r="P376" s="104">
        <v>828.16428036051434</v>
      </c>
      <c r="Q376" s="104">
        <v>4.2577550607699806</v>
      </c>
      <c r="R376" s="96"/>
      <c r="Y376" s="88"/>
      <c r="Z376" s="88"/>
      <c r="AA376" s="88"/>
    </row>
    <row r="377" spans="14:27" x14ac:dyDescent="0.3">
      <c r="N377" s="104">
        <v>0</v>
      </c>
      <c r="O377" s="104">
        <f t="shared" si="6"/>
        <v>69.014010040043274</v>
      </c>
      <c r="P377" s="104">
        <v>828.16812048051929</v>
      </c>
      <c r="Q377" s="104">
        <v>4.257859345144837</v>
      </c>
      <c r="R377" s="96"/>
      <c r="Y377" s="88"/>
      <c r="Z377" s="88"/>
      <c r="AA377" s="88"/>
    </row>
    <row r="378" spans="14:27" x14ac:dyDescent="0.3">
      <c r="N378" s="104">
        <v>0</v>
      </c>
      <c r="O378" s="104">
        <f t="shared" si="6"/>
        <v>69.014170045043485</v>
      </c>
      <c r="P378" s="104">
        <v>828.17004054052177</v>
      </c>
      <c r="Q378" s="104">
        <v>4.2579114868305936</v>
      </c>
      <c r="R378" s="96"/>
      <c r="Y378" s="88"/>
      <c r="Z378" s="88"/>
      <c r="AA378" s="88"/>
    </row>
    <row r="379" spans="14:27" x14ac:dyDescent="0.3">
      <c r="N379" s="104">
        <v>0</v>
      </c>
      <c r="O379" s="104">
        <f t="shared" si="6"/>
        <v>69.875107845787227</v>
      </c>
      <c r="P379" s="104">
        <v>838.50129414944672</v>
      </c>
      <c r="Q379" s="104">
        <v>4.5326067889196366</v>
      </c>
      <c r="R379" s="96"/>
      <c r="Y379" s="88"/>
      <c r="Z379" s="88"/>
      <c r="AA379" s="88"/>
    </row>
    <row r="380" spans="14:27" x14ac:dyDescent="0.3">
      <c r="N380" s="104">
        <v>0</v>
      </c>
      <c r="O380" s="104">
        <f t="shared" si="6"/>
        <v>69.875267850787438</v>
      </c>
      <c r="P380" s="104">
        <v>838.5032142094492</v>
      </c>
      <c r="Q380" s="104">
        <v>4.5326568021366711</v>
      </c>
      <c r="R380" s="96"/>
      <c r="Y380" s="88"/>
      <c r="Z380" s="88"/>
      <c r="AA380" s="88"/>
    </row>
    <row r="381" spans="14:27" x14ac:dyDescent="0.3">
      <c r="N381" s="104">
        <v>0</v>
      </c>
      <c r="O381" s="104">
        <f t="shared" si="6"/>
        <v>69.875587860787846</v>
      </c>
      <c r="P381" s="104">
        <v>838.50705432945415</v>
      </c>
      <c r="Q381" s="104">
        <v>4.5327568272820713</v>
      </c>
      <c r="R381" s="96"/>
      <c r="Y381" s="88"/>
      <c r="Z381" s="88"/>
      <c r="AA381" s="88"/>
    </row>
    <row r="382" spans="14:27" x14ac:dyDescent="0.3">
      <c r="N382" s="104">
        <v>0</v>
      </c>
      <c r="O382" s="104">
        <f t="shared" si="6"/>
        <v>69.875747865788057</v>
      </c>
      <c r="P382" s="104">
        <v>838.50897438945663</v>
      </c>
      <c r="Q382" s="104">
        <v>4.5328068394125438</v>
      </c>
      <c r="R382" s="96"/>
      <c r="Y382" s="88"/>
      <c r="Z382" s="88"/>
      <c r="AA382" s="88"/>
    </row>
    <row r="383" spans="14:27" x14ac:dyDescent="0.3">
      <c r="N383" s="104">
        <v>0</v>
      </c>
      <c r="O383" s="104">
        <f t="shared" si="6"/>
        <v>70.463463089404783</v>
      </c>
      <c r="P383" s="104">
        <v>845.56155707285734</v>
      </c>
      <c r="Q383" s="104">
        <v>4.7141149825240376</v>
      </c>
      <c r="R383" s="96"/>
      <c r="Y383" s="88"/>
      <c r="Z383" s="88"/>
      <c r="AA383" s="88"/>
    </row>
    <row r="384" spans="14:27" x14ac:dyDescent="0.3">
      <c r="N384" s="104">
        <v>0</v>
      </c>
      <c r="O384" s="104">
        <f t="shared" si="6"/>
        <v>70.46362309440498</v>
      </c>
      <c r="P384" s="104">
        <v>845.56347713285982</v>
      </c>
      <c r="Q384" s="104">
        <v>4.7141637160335108</v>
      </c>
      <c r="R384" s="96"/>
      <c r="Y384" s="88"/>
      <c r="Z384" s="88"/>
      <c r="AA384" s="88"/>
    </row>
    <row r="385" spans="14:27" x14ac:dyDescent="0.3">
      <c r="N385" s="104">
        <v>0</v>
      </c>
      <c r="O385" s="104">
        <f t="shared" si="6"/>
        <v>70.463943104405402</v>
      </c>
      <c r="P385" s="104">
        <v>845.56731725286477</v>
      </c>
      <c r="Q385" s="104">
        <v>4.7142611820782037</v>
      </c>
      <c r="R385" s="96"/>
      <c r="Y385" s="88"/>
      <c r="Z385" s="88"/>
      <c r="AA385" s="88"/>
    </row>
    <row r="386" spans="14:27" x14ac:dyDescent="0.3">
      <c r="N386" s="104">
        <v>0</v>
      </c>
      <c r="O386" s="104">
        <f t="shared" si="6"/>
        <v>70.464103109405599</v>
      </c>
      <c r="P386" s="104">
        <v>845.56923731286724</v>
      </c>
      <c r="Q386" s="104">
        <v>4.7143099146485667</v>
      </c>
      <c r="R386" s="96"/>
      <c r="Y386" s="88"/>
      <c r="Z386" s="88"/>
      <c r="AA386" s="88"/>
    </row>
    <row r="387" spans="14:27" x14ac:dyDescent="0.3">
      <c r="N387" s="104">
        <v>0</v>
      </c>
      <c r="O387" s="104">
        <f t="shared" si="6"/>
        <v>70.763696964803231</v>
      </c>
      <c r="P387" s="104">
        <v>849.16436357763882</v>
      </c>
      <c r="Q387" s="104">
        <v>4.8049919356355986</v>
      </c>
      <c r="R387" s="96"/>
      <c r="Y387" s="88"/>
      <c r="Z387" s="88"/>
      <c r="AA387" s="88"/>
    </row>
    <row r="388" spans="14:27" x14ac:dyDescent="0.3">
      <c r="N388" s="104">
        <v>0</v>
      </c>
      <c r="O388" s="104">
        <f t="shared" si="6"/>
        <v>70.763856969803442</v>
      </c>
      <c r="P388" s="104">
        <v>849.1662836376413</v>
      </c>
      <c r="Q388" s="104">
        <v>4.805040070909314</v>
      </c>
      <c r="R388" s="96"/>
      <c r="Y388" s="88"/>
      <c r="Z388" s="88"/>
      <c r="AA388" s="88"/>
    </row>
    <row r="389" spans="14:27" x14ac:dyDescent="0.3">
      <c r="N389" s="104">
        <v>0</v>
      </c>
      <c r="O389" s="104">
        <f t="shared" si="6"/>
        <v>70.76417697980385</v>
      </c>
      <c r="P389" s="104">
        <v>849.17012375764625</v>
      </c>
      <c r="Q389" s="104">
        <v>4.8051363403120035</v>
      </c>
      <c r="R389" s="96"/>
      <c r="Y389" s="88"/>
      <c r="Z389" s="88"/>
      <c r="AA389" s="88"/>
    </row>
    <row r="390" spans="14:27" x14ac:dyDescent="0.3">
      <c r="N390" s="104">
        <v>0</v>
      </c>
      <c r="O390" s="104">
        <f t="shared" si="6"/>
        <v>70.764336984804061</v>
      </c>
      <c r="P390" s="104">
        <v>849.17204381764873</v>
      </c>
      <c r="Q390" s="104">
        <v>4.8051844746064631</v>
      </c>
      <c r="R390" s="96"/>
      <c r="Y390" s="88"/>
      <c r="Z390" s="88"/>
      <c r="AA390" s="88"/>
    </row>
    <row r="391" spans="14:27" x14ac:dyDescent="0.3">
      <c r="N391" s="104">
        <v>0</v>
      </c>
      <c r="O391" s="104">
        <f t="shared" ref="O391:O454" si="7">P391/12</f>
        <v>71.352052208420787</v>
      </c>
      <c r="P391" s="104">
        <v>856.22462650104944</v>
      </c>
      <c r="Q391" s="104">
        <v>4.9799884016107825</v>
      </c>
      <c r="R391" s="96"/>
      <c r="Y391" s="88"/>
      <c r="Z391" s="88"/>
      <c r="AA391" s="88"/>
    </row>
    <row r="392" spans="14:27" x14ac:dyDescent="0.3">
      <c r="N392" s="104">
        <v>0</v>
      </c>
      <c r="O392" s="104">
        <f t="shared" si="7"/>
        <v>71.352212213420998</v>
      </c>
      <c r="P392" s="104">
        <v>856.22654656105192</v>
      </c>
      <c r="Q392" s="104">
        <v>4.9800354714521546</v>
      </c>
      <c r="R392" s="96"/>
      <c r="Y392" s="88"/>
      <c r="Z392" s="88"/>
      <c r="AA392" s="88"/>
    </row>
    <row r="393" spans="14:27" x14ac:dyDescent="0.3">
      <c r="N393" s="104">
        <v>0</v>
      </c>
      <c r="O393" s="104">
        <f t="shared" si="7"/>
        <v>71.352532223421406</v>
      </c>
      <c r="P393" s="104">
        <v>856.23038668105687</v>
      </c>
      <c r="Q393" s="104">
        <v>4.9801296101288983</v>
      </c>
      <c r="R393" s="96"/>
      <c r="Y393" s="88"/>
      <c r="Z393" s="88"/>
      <c r="AA393" s="88"/>
    </row>
    <row r="394" spans="14:27" x14ac:dyDescent="0.3">
      <c r="N394" s="104">
        <v>0</v>
      </c>
      <c r="O394" s="104">
        <f t="shared" si="7"/>
        <v>71.352692228421617</v>
      </c>
      <c r="P394" s="104">
        <v>856.23230674105935</v>
      </c>
      <c r="Q394" s="104">
        <v>4.9801766791451598</v>
      </c>
      <c r="R394" s="96"/>
      <c r="Y394" s="88"/>
      <c r="Z394" s="88"/>
      <c r="AA394" s="88"/>
    </row>
    <row r="395" spans="14:27" x14ac:dyDescent="0.3">
      <c r="N395" s="104">
        <v>0</v>
      </c>
      <c r="O395" s="104">
        <f t="shared" si="7"/>
        <v>72.213630029165358</v>
      </c>
      <c r="P395" s="104">
        <v>866.5635603499843</v>
      </c>
      <c r="Q395" s="104">
        <v>5.2297970196869272</v>
      </c>
      <c r="R395" s="96"/>
      <c r="Y395" s="88"/>
      <c r="Z395" s="88"/>
      <c r="AA395" s="88"/>
    </row>
    <row r="396" spans="14:27" x14ac:dyDescent="0.3">
      <c r="N396" s="104">
        <v>0</v>
      </c>
      <c r="O396" s="104">
        <f t="shared" si="7"/>
        <v>72.213790034165569</v>
      </c>
      <c r="P396" s="104">
        <v>866.56548040998678</v>
      </c>
      <c r="Q396" s="104">
        <v>5.2298427850132327</v>
      </c>
      <c r="R396" s="96"/>
      <c r="Y396" s="88"/>
      <c r="Z396" s="88"/>
      <c r="AA396" s="88"/>
    </row>
    <row r="397" spans="14:27" x14ac:dyDescent="0.3">
      <c r="N397" s="104">
        <v>0</v>
      </c>
      <c r="O397" s="104">
        <f t="shared" si="7"/>
        <v>72.214110044165977</v>
      </c>
      <c r="P397" s="104">
        <v>866.56932052999173</v>
      </c>
      <c r="Q397" s="104">
        <v>5.2299343152123612</v>
      </c>
      <c r="R397" s="96"/>
      <c r="Y397" s="88"/>
      <c r="Z397" s="88"/>
      <c r="AA397" s="88"/>
    </row>
    <row r="398" spans="14:27" x14ac:dyDescent="0.3">
      <c r="N398" s="104">
        <v>0</v>
      </c>
      <c r="O398" s="104">
        <f t="shared" si="7"/>
        <v>72.214270049166188</v>
      </c>
      <c r="P398" s="104">
        <v>866.5712405899942</v>
      </c>
      <c r="Q398" s="104">
        <v>5.2299800798950855</v>
      </c>
      <c r="R398" s="96"/>
      <c r="Y398" s="88"/>
      <c r="Z398" s="88"/>
      <c r="AA398" s="88"/>
    </row>
    <row r="399" spans="14:27" x14ac:dyDescent="0.3">
      <c r="N399" s="104">
        <v>0</v>
      </c>
      <c r="O399" s="104">
        <f t="shared" si="7"/>
        <v>73.07520784990993</v>
      </c>
      <c r="P399" s="104">
        <v>876.90249419891916</v>
      </c>
      <c r="Q399" s="104">
        <v>5.4734004229202782</v>
      </c>
      <c r="R399" s="96"/>
      <c r="Y399" s="88"/>
      <c r="Z399" s="88"/>
      <c r="AA399" s="88"/>
    </row>
    <row r="400" spans="14:27" x14ac:dyDescent="0.3">
      <c r="N400" s="104">
        <v>0</v>
      </c>
      <c r="O400" s="104">
        <f t="shared" si="7"/>
        <v>73.075367854910141</v>
      </c>
      <c r="P400" s="104">
        <v>876.90441425892163</v>
      </c>
      <c r="Q400" s="104">
        <v>5.4734451878958339</v>
      </c>
      <c r="R400" s="96"/>
      <c r="Y400" s="88"/>
      <c r="Z400" s="88"/>
      <c r="AA400" s="88"/>
    </row>
    <row r="401" spans="14:27" x14ac:dyDescent="0.3">
      <c r="N401" s="104">
        <v>0</v>
      </c>
      <c r="O401" s="104">
        <f t="shared" si="7"/>
        <v>73.075687864910549</v>
      </c>
      <c r="P401" s="104">
        <v>876.90825437892659</v>
      </c>
      <c r="Q401" s="104">
        <v>5.4735347175493985</v>
      </c>
      <c r="R401" s="96"/>
      <c r="Y401" s="88"/>
      <c r="Z401" s="88"/>
      <c r="AA401" s="88"/>
    </row>
    <row r="402" spans="14:27" x14ac:dyDescent="0.3">
      <c r="N402" s="104">
        <v>0</v>
      </c>
      <c r="O402" s="104">
        <f t="shared" si="7"/>
        <v>73.07584786991076</v>
      </c>
      <c r="P402" s="104">
        <v>876.91017443892906</v>
      </c>
      <c r="Q402" s="104">
        <v>5.4735794821488923</v>
      </c>
      <c r="R402" s="96"/>
      <c r="Y402" s="88"/>
      <c r="Z402" s="88"/>
      <c r="AA402" s="88"/>
    </row>
    <row r="403" spans="14:27" x14ac:dyDescent="0.3">
      <c r="N403" s="104">
        <v>0</v>
      </c>
      <c r="O403" s="104">
        <f t="shared" si="7"/>
        <v>73.663563093527486</v>
      </c>
      <c r="P403" s="104">
        <v>883.96275712232978</v>
      </c>
      <c r="Q403" s="104">
        <v>5.6370283840134334</v>
      </c>
      <c r="R403" s="96"/>
      <c r="Y403" s="88"/>
      <c r="Z403" s="88"/>
      <c r="AA403" s="88"/>
    </row>
    <row r="404" spans="14:27" x14ac:dyDescent="0.3">
      <c r="N404" s="104">
        <v>0</v>
      </c>
      <c r="O404" s="104">
        <f t="shared" si="7"/>
        <v>73.663723098527683</v>
      </c>
      <c r="P404" s="104">
        <v>883.96467718233225</v>
      </c>
      <c r="Q404" s="104">
        <v>5.6370726407205893</v>
      </c>
      <c r="R404" s="96"/>
      <c r="Y404" s="88"/>
      <c r="Z404" s="88"/>
      <c r="AA404" s="88"/>
    </row>
    <row r="405" spans="14:27" x14ac:dyDescent="0.3">
      <c r="N405" s="104">
        <v>0</v>
      </c>
      <c r="O405" s="104">
        <f t="shared" si="7"/>
        <v>73.664043108528105</v>
      </c>
      <c r="P405" s="104">
        <v>883.9685173023372</v>
      </c>
      <c r="Q405" s="104">
        <v>5.6371611537445858</v>
      </c>
      <c r="R405" s="96"/>
      <c r="Y405" s="88"/>
      <c r="Z405" s="88"/>
      <c r="AA405" s="88"/>
    </row>
    <row r="406" spans="14:27" x14ac:dyDescent="0.3">
      <c r="N406" s="104">
        <v>0</v>
      </c>
      <c r="O406" s="104">
        <f t="shared" si="7"/>
        <v>73.664203113528302</v>
      </c>
      <c r="P406" s="104">
        <v>883.97043736233968</v>
      </c>
      <c r="Q406" s="104">
        <v>5.6372054099908411</v>
      </c>
      <c r="R406" s="96"/>
      <c r="Y406" s="88"/>
      <c r="Z406" s="88"/>
      <c r="AA406" s="88"/>
    </row>
    <row r="407" spans="14:27" x14ac:dyDescent="0.3">
      <c r="N407" s="104">
        <v>0</v>
      </c>
      <c r="O407" s="104">
        <f t="shared" si="7"/>
        <v>73.963796968925962</v>
      </c>
      <c r="P407" s="104">
        <v>887.56556362711149</v>
      </c>
      <c r="Q407" s="104">
        <v>5.719873941657454</v>
      </c>
      <c r="R407" s="96"/>
      <c r="Y407" s="88"/>
      <c r="Z407" s="88"/>
      <c r="AA407" s="88"/>
    </row>
    <row r="408" spans="14:27" x14ac:dyDescent="0.3">
      <c r="N408" s="104">
        <v>0</v>
      </c>
      <c r="O408" s="104">
        <f t="shared" si="7"/>
        <v>73.963956973926159</v>
      </c>
      <c r="P408" s="104">
        <v>887.56748368711396</v>
      </c>
      <c r="Q408" s="104">
        <v>5.7199179936018112</v>
      </c>
      <c r="R408" s="96"/>
      <c r="Y408" s="88"/>
      <c r="Z408" s="88"/>
      <c r="AA408" s="88"/>
    </row>
    <row r="409" spans="14:27" x14ac:dyDescent="0.3">
      <c r="N409" s="104">
        <v>0</v>
      </c>
      <c r="O409" s="104">
        <f t="shared" si="7"/>
        <v>73.964276983926581</v>
      </c>
      <c r="P409" s="104">
        <v>887.57132380711892</v>
      </c>
      <c r="Q409" s="104">
        <v>5.7200060970907032</v>
      </c>
      <c r="R409" s="96"/>
      <c r="Y409" s="88"/>
      <c r="Z409" s="88"/>
      <c r="AA409" s="88"/>
    </row>
    <row r="410" spans="14:27" x14ac:dyDescent="0.3">
      <c r="N410" s="104">
        <v>0</v>
      </c>
      <c r="O410" s="104">
        <f t="shared" si="7"/>
        <v>73.964436988926778</v>
      </c>
      <c r="P410" s="104">
        <v>887.57324386712139</v>
      </c>
      <c r="Q410" s="104">
        <v>5.7200501486440061</v>
      </c>
      <c r="R410" s="96"/>
      <c r="Y410" s="88"/>
      <c r="Z410" s="88"/>
      <c r="AA410" s="88"/>
    </row>
    <row r="411" spans="14:27" x14ac:dyDescent="0.3">
      <c r="N411" s="104">
        <v>0</v>
      </c>
      <c r="O411" s="104">
        <f t="shared" si="7"/>
        <v>74.552152212543504</v>
      </c>
      <c r="P411" s="104">
        <v>894.62582655052211</v>
      </c>
      <c r="Q411" s="104">
        <v>5.8812730893596665</v>
      </c>
      <c r="R411" s="96"/>
      <c r="Y411" s="88"/>
      <c r="Z411" s="88"/>
      <c r="AA411" s="88"/>
    </row>
    <row r="412" spans="14:27" x14ac:dyDescent="0.3">
      <c r="N412" s="104">
        <v>0</v>
      </c>
      <c r="O412" s="104">
        <f t="shared" si="7"/>
        <v>74.552312217543715</v>
      </c>
      <c r="P412" s="104">
        <v>894.62774661052458</v>
      </c>
      <c r="Q412" s="104">
        <v>5.8813168470069286</v>
      </c>
      <c r="R412" s="96"/>
      <c r="Y412" s="88"/>
      <c r="Z412" s="88"/>
      <c r="AA412" s="88"/>
    </row>
    <row r="413" spans="14:27" x14ac:dyDescent="0.3">
      <c r="N413" s="104">
        <v>0</v>
      </c>
      <c r="O413" s="104">
        <f t="shared" si="7"/>
        <v>74.552632227544123</v>
      </c>
      <c r="P413" s="104">
        <v>894.63158673052953</v>
      </c>
      <c r="Q413" s="104">
        <v>5.8814043621153758</v>
      </c>
      <c r="R413" s="96"/>
      <c r="Y413" s="88"/>
      <c r="Z413" s="88"/>
      <c r="AA413" s="88"/>
    </row>
    <row r="414" spans="14:27" x14ac:dyDescent="0.3">
      <c r="N414" s="104">
        <v>0</v>
      </c>
      <c r="O414" s="104">
        <f t="shared" si="7"/>
        <v>74.552792232544334</v>
      </c>
      <c r="P414" s="104">
        <v>894.63350679053201</v>
      </c>
      <c r="Q414" s="104">
        <v>5.8814481195018971</v>
      </c>
      <c r="R414" s="96"/>
      <c r="Y414" s="88"/>
      <c r="Z414" s="88"/>
      <c r="AA414" s="88"/>
    </row>
    <row r="415" spans="14:27" x14ac:dyDescent="0.3">
      <c r="N415" s="104">
        <v>0</v>
      </c>
      <c r="O415" s="104">
        <f t="shared" si="7"/>
        <v>75.413730033288076</v>
      </c>
      <c r="P415" s="104">
        <v>904.96476039945696</v>
      </c>
      <c r="Q415" s="104">
        <v>6.1162869683587076</v>
      </c>
      <c r="R415" s="96"/>
      <c r="Y415" s="88"/>
      <c r="Z415" s="88"/>
      <c r="AA415" s="88"/>
    </row>
    <row r="416" spans="14:27" x14ac:dyDescent="0.3">
      <c r="N416" s="104">
        <v>0</v>
      </c>
      <c r="O416" s="104">
        <f t="shared" si="7"/>
        <v>75.413890038288287</v>
      </c>
      <c r="P416" s="104">
        <v>904.96668045945944</v>
      </c>
      <c r="Q416" s="104">
        <v>6.1163305509239763</v>
      </c>
      <c r="R416" s="96"/>
      <c r="Y416" s="88"/>
      <c r="Z416" s="88"/>
      <c r="AA416" s="88"/>
    </row>
    <row r="417" spans="14:27" x14ac:dyDescent="0.3">
      <c r="N417" s="104">
        <v>0</v>
      </c>
      <c r="O417" s="104">
        <f t="shared" si="7"/>
        <v>75.414210048288695</v>
      </c>
      <c r="P417" s="104">
        <v>904.97052057946439</v>
      </c>
      <c r="Q417" s="104">
        <v>6.1164177161151088</v>
      </c>
      <c r="R417" s="96"/>
      <c r="Y417" s="88"/>
      <c r="Z417" s="88"/>
      <c r="AA417" s="88"/>
    </row>
    <row r="418" spans="14:27" x14ac:dyDescent="0.3">
      <c r="N418" s="104">
        <v>0</v>
      </c>
      <c r="O418" s="104">
        <f t="shared" si="7"/>
        <v>75.414370053288906</v>
      </c>
      <c r="P418" s="104">
        <v>904.97244063946687</v>
      </c>
      <c r="Q418" s="104">
        <v>6.1164612987029727</v>
      </c>
      <c r="R418" s="96"/>
      <c r="Y418" s="88"/>
      <c r="Z418" s="88"/>
      <c r="AA418" s="88"/>
    </row>
    <row r="419" spans="14:27" x14ac:dyDescent="0.3">
      <c r="N419" s="104">
        <v>0</v>
      </c>
      <c r="O419" s="104">
        <f t="shared" si="7"/>
        <v>76.275307854032647</v>
      </c>
      <c r="P419" s="104">
        <v>915.30369424839182</v>
      </c>
      <c r="Q419" s="104">
        <v>6.3511768153368564</v>
      </c>
      <c r="R419" s="96"/>
      <c r="Y419" s="88"/>
      <c r="Z419" s="88"/>
      <c r="AA419" s="88"/>
    </row>
    <row r="420" spans="14:27" x14ac:dyDescent="0.3">
      <c r="N420" s="104">
        <v>0</v>
      </c>
      <c r="O420" s="104">
        <f t="shared" si="7"/>
        <v>76.275467859032858</v>
      </c>
      <c r="P420" s="104">
        <v>915.3056143083943</v>
      </c>
      <c r="Q420" s="104">
        <v>6.3512205269591959</v>
      </c>
      <c r="R420" s="96"/>
      <c r="Y420" s="88"/>
      <c r="Z420" s="88"/>
      <c r="AA420" s="88"/>
    </row>
    <row r="421" spans="14:27" x14ac:dyDescent="0.3">
      <c r="N421" s="104">
        <v>0</v>
      </c>
      <c r="O421" s="104">
        <f t="shared" si="7"/>
        <v>76.275787869033266</v>
      </c>
      <c r="P421" s="104">
        <v>915.30945442839925</v>
      </c>
      <c r="Q421" s="104">
        <v>6.3513079504604946</v>
      </c>
      <c r="R421" s="96"/>
      <c r="Y421" s="88"/>
      <c r="Z421" s="88"/>
      <c r="AA421" s="88"/>
    </row>
    <row r="422" spans="14:27" x14ac:dyDescent="0.3">
      <c r="N422" s="104">
        <v>0</v>
      </c>
      <c r="O422" s="104">
        <f t="shared" si="7"/>
        <v>76.275947874033477</v>
      </c>
      <c r="P422" s="104">
        <v>915.31137448840173</v>
      </c>
      <c r="Q422" s="104">
        <v>6.3513516622097654</v>
      </c>
      <c r="R422" s="96"/>
      <c r="Y422" s="88"/>
      <c r="Z422" s="88"/>
      <c r="AA422" s="88"/>
    </row>
    <row r="423" spans="14:27" x14ac:dyDescent="0.3">
      <c r="N423" s="104">
        <v>0</v>
      </c>
      <c r="O423" s="104">
        <f t="shared" si="7"/>
        <v>76.863663097650203</v>
      </c>
      <c r="P423" s="104">
        <v>922.36395717180244</v>
      </c>
      <c r="Q423" s="104">
        <v>6.5123487252247685</v>
      </c>
      <c r="R423" s="96"/>
      <c r="Y423" s="88"/>
      <c r="Z423" s="88"/>
      <c r="AA423" s="88"/>
    </row>
    <row r="424" spans="14:27" x14ac:dyDescent="0.3">
      <c r="N424" s="104">
        <v>0</v>
      </c>
      <c r="O424" s="104">
        <f t="shared" si="7"/>
        <v>76.863823102650414</v>
      </c>
      <c r="P424" s="104">
        <v>922.36587723180492</v>
      </c>
      <c r="Q424" s="104">
        <v>6.5123926997424064</v>
      </c>
      <c r="R424" s="96"/>
      <c r="Y424" s="88"/>
      <c r="Z424" s="88"/>
      <c r="AA424" s="88"/>
    </row>
    <row r="425" spans="14:27" x14ac:dyDescent="0.3">
      <c r="N425" s="104">
        <v>0</v>
      </c>
      <c r="O425" s="104">
        <f t="shared" si="7"/>
        <v>76.864143112650822</v>
      </c>
      <c r="P425" s="104">
        <v>922.36971735180987</v>
      </c>
      <c r="Q425" s="104">
        <v>6.5124806489439777</v>
      </c>
      <c r="R425" s="96"/>
      <c r="Y425" s="88"/>
      <c r="Z425" s="88"/>
      <c r="AA425" s="88"/>
    </row>
    <row r="426" spans="14:27" x14ac:dyDescent="0.3">
      <c r="N426" s="104">
        <v>0</v>
      </c>
      <c r="O426" s="104">
        <f t="shared" si="7"/>
        <v>76.864303117651033</v>
      </c>
      <c r="P426" s="104">
        <v>922.37163741181234</v>
      </c>
      <c r="Q426" s="104">
        <v>6.5125246235680549</v>
      </c>
      <c r="R426" s="96"/>
      <c r="Y426" s="88"/>
      <c r="Z426" s="88"/>
      <c r="AA426" s="88"/>
    </row>
    <row r="427" spans="14:27" x14ac:dyDescent="0.3">
      <c r="N427" s="104">
        <v>0</v>
      </c>
      <c r="O427" s="104">
        <f t="shared" si="7"/>
        <v>77.163896973048665</v>
      </c>
      <c r="P427" s="104">
        <v>925.96676367658392</v>
      </c>
      <c r="Q427" s="104">
        <v>6.5950337484542558</v>
      </c>
      <c r="R427" s="96"/>
      <c r="Y427" s="88"/>
      <c r="Z427" s="88"/>
      <c r="AA427" s="88"/>
    </row>
    <row r="428" spans="14:27" x14ac:dyDescent="0.3">
      <c r="N428" s="104">
        <v>0</v>
      </c>
      <c r="O428" s="104">
        <f t="shared" si="7"/>
        <v>77.164056978048862</v>
      </c>
      <c r="P428" s="104">
        <v>925.9686837365864</v>
      </c>
      <c r="Q428" s="104">
        <v>6.595077911734279</v>
      </c>
      <c r="R428" s="96"/>
      <c r="Y428" s="88"/>
      <c r="Z428" s="88"/>
      <c r="AA428" s="88"/>
    </row>
    <row r="429" spans="14:27" x14ac:dyDescent="0.3">
      <c r="N429" s="104">
        <v>0</v>
      </c>
      <c r="O429" s="104">
        <f t="shared" si="7"/>
        <v>77.164376988049284</v>
      </c>
      <c r="P429" s="104">
        <v>925.97252385659135</v>
      </c>
      <c r="Q429" s="104">
        <v>6.5951662384988765</v>
      </c>
      <c r="R429" s="96"/>
      <c r="Y429" s="88"/>
      <c r="Z429" s="88"/>
      <c r="AA429" s="88"/>
    </row>
    <row r="430" spans="14:27" x14ac:dyDescent="0.3">
      <c r="N430" s="104">
        <v>0</v>
      </c>
      <c r="O430" s="104">
        <f t="shared" si="7"/>
        <v>77.164536993049481</v>
      </c>
      <c r="P430" s="104">
        <v>925.97444391659383</v>
      </c>
      <c r="Q430" s="104">
        <v>6.5952104019612818</v>
      </c>
      <c r="R430" s="96"/>
      <c r="Y430" s="88"/>
      <c r="Z430" s="88"/>
      <c r="AA430" s="88"/>
    </row>
    <row r="431" spans="14:27" x14ac:dyDescent="0.3">
      <c r="N431" s="104">
        <v>0</v>
      </c>
      <c r="O431" s="104">
        <f t="shared" si="7"/>
        <v>77.752252216666207</v>
      </c>
      <c r="P431" s="104">
        <v>933.02702659999454</v>
      </c>
      <c r="Q431" s="104">
        <v>6.7582597628618544</v>
      </c>
      <c r="R431" s="96"/>
      <c r="Y431" s="88"/>
      <c r="Z431" s="88"/>
      <c r="AA431" s="88"/>
    </row>
    <row r="432" spans="14:27" x14ac:dyDescent="0.3">
      <c r="N432" s="104">
        <v>0</v>
      </c>
      <c r="O432" s="104">
        <f t="shared" si="7"/>
        <v>77.752412221666418</v>
      </c>
      <c r="P432" s="104">
        <v>933.02894665999702</v>
      </c>
      <c r="Q432" s="104">
        <v>6.7583044030814392</v>
      </c>
      <c r="R432" s="96"/>
      <c r="Y432" s="88"/>
      <c r="Z432" s="88"/>
      <c r="AA432" s="88"/>
    </row>
    <row r="433" spans="14:27" x14ac:dyDescent="0.3">
      <c r="N433" s="104">
        <v>0</v>
      </c>
      <c r="O433" s="104">
        <f t="shared" si="7"/>
        <v>77.752732231666826</v>
      </c>
      <c r="P433" s="104">
        <v>933.03278678000197</v>
      </c>
      <c r="Q433" s="104">
        <v>6.758393683914818</v>
      </c>
      <c r="R433" s="96"/>
      <c r="Y433" s="88"/>
      <c r="Z433" s="88"/>
      <c r="AA433" s="88"/>
    </row>
    <row r="434" spans="14:27" x14ac:dyDescent="0.3">
      <c r="N434" s="104">
        <v>0</v>
      </c>
      <c r="O434" s="104">
        <f t="shared" si="7"/>
        <v>77.752892236667037</v>
      </c>
      <c r="P434" s="104">
        <v>933.03470684000445</v>
      </c>
      <c r="Q434" s="104">
        <v>6.7584383245954029</v>
      </c>
      <c r="R434" s="96"/>
      <c r="Y434" s="88"/>
      <c r="Z434" s="88"/>
      <c r="AA434" s="88"/>
    </row>
    <row r="435" spans="14:27" x14ac:dyDescent="0.3">
      <c r="N435" s="104">
        <v>0</v>
      </c>
      <c r="O435" s="104">
        <f t="shared" si="7"/>
        <v>78.613830037410779</v>
      </c>
      <c r="P435" s="104">
        <v>943.3659604489294</v>
      </c>
      <c r="Q435" s="104">
        <v>7.001065830745631</v>
      </c>
      <c r="R435" s="96"/>
      <c r="Y435" s="88"/>
      <c r="Z435" s="88"/>
      <c r="AA435" s="88"/>
    </row>
    <row r="436" spans="14:27" x14ac:dyDescent="0.3">
      <c r="N436" s="104">
        <v>0</v>
      </c>
      <c r="O436" s="104">
        <f t="shared" si="7"/>
        <v>78.61399004241099</v>
      </c>
      <c r="P436" s="104">
        <v>943.36788050893188</v>
      </c>
      <c r="Q436" s="104">
        <v>7.0011114251879576</v>
      </c>
      <c r="R436" s="96"/>
      <c r="Y436" s="88"/>
      <c r="Z436" s="88"/>
      <c r="AA436" s="88"/>
    </row>
    <row r="437" spans="14:27" x14ac:dyDescent="0.3">
      <c r="N437" s="104">
        <v>0</v>
      </c>
      <c r="O437" s="104">
        <f t="shared" si="7"/>
        <v>78.614310052411398</v>
      </c>
      <c r="P437" s="104">
        <v>943.37172062893683</v>
      </c>
      <c r="Q437" s="104">
        <v>7.0012026148152984</v>
      </c>
      <c r="R437" s="96"/>
      <c r="Y437" s="88"/>
      <c r="Z437" s="88"/>
      <c r="AA437" s="88"/>
    </row>
    <row r="438" spans="14:27" x14ac:dyDescent="0.3">
      <c r="N438" s="104">
        <v>0</v>
      </c>
      <c r="O438" s="104">
        <f t="shared" si="7"/>
        <v>78.614470057411609</v>
      </c>
      <c r="P438" s="104">
        <v>943.3736406889393</v>
      </c>
      <c r="Q438" s="104">
        <v>7.0012482099388365</v>
      </c>
      <c r="R438" s="96"/>
      <c r="Y438" s="88"/>
      <c r="Z438" s="88"/>
      <c r="AA438" s="88"/>
    </row>
    <row r="439" spans="14:27" x14ac:dyDescent="0.3">
      <c r="N439" s="104">
        <v>0</v>
      </c>
      <c r="O439" s="104">
        <f t="shared" si="7"/>
        <v>79.47540785815535</v>
      </c>
      <c r="P439" s="104">
        <v>953.70489429786426</v>
      </c>
      <c r="Q439" s="104">
        <v>7.2498290493682589</v>
      </c>
      <c r="R439" s="96"/>
      <c r="Y439" s="88"/>
      <c r="Z439" s="88"/>
      <c r="AA439" s="88"/>
    </row>
    <row r="440" spans="14:27" x14ac:dyDescent="0.3">
      <c r="N440" s="104">
        <v>0</v>
      </c>
      <c r="O440" s="104">
        <f t="shared" si="7"/>
        <v>79.475567863155561</v>
      </c>
      <c r="P440" s="104">
        <v>953.70681435786673</v>
      </c>
      <c r="Q440" s="104">
        <v>7.2498759021419801</v>
      </c>
      <c r="R440" s="96"/>
      <c r="Y440" s="88"/>
      <c r="Z440" s="88"/>
      <c r="AA440" s="88"/>
    </row>
    <row r="441" spans="14:27" x14ac:dyDescent="0.3">
      <c r="N441" s="104">
        <v>0</v>
      </c>
      <c r="O441" s="104">
        <f t="shared" si="7"/>
        <v>79.475887873155969</v>
      </c>
      <c r="P441" s="104">
        <v>953.71065447787169</v>
      </c>
      <c r="Q441" s="104">
        <v>7.2499696087948848</v>
      </c>
      <c r="R441" s="96"/>
      <c r="Y441" s="88"/>
      <c r="Z441" s="88"/>
      <c r="AA441" s="88"/>
    </row>
    <row r="442" spans="14:27" x14ac:dyDescent="0.3">
      <c r="N442" s="104">
        <v>0</v>
      </c>
      <c r="O442" s="104">
        <f t="shared" si="7"/>
        <v>79.47604787815618</v>
      </c>
      <c r="P442" s="104">
        <v>953.71257453787416</v>
      </c>
      <c r="Q442" s="104">
        <v>7.2500164622976229</v>
      </c>
      <c r="R442" s="96"/>
      <c r="Y442" s="88"/>
      <c r="Z442" s="88"/>
      <c r="AA442" s="88"/>
    </row>
    <row r="443" spans="14:27" x14ac:dyDescent="0.3">
      <c r="N443" s="104">
        <v>0</v>
      </c>
      <c r="O443" s="104">
        <f t="shared" si="7"/>
        <v>80.063763101772906</v>
      </c>
      <c r="P443" s="104">
        <v>960.76515722127488</v>
      </c>
      <c r="Q443" s="104">
        <v>7.4239690936324223</v>
      </c>
      <c r="R443" s="96"/>
      <c r="Y443" s="88"/>
      <c r="Z443" s="88"/>
      <c r="AA443" s="88"/>
    </row>
    <row r="444" spans="14:27" x14ac:dyDescent="0.3">
      <c r="N444" s="104">
        <v>0</v>
      </c>
      <c r="O444" s="104">
        <f t="shared" si="7"/>
        <v>80.063923106773117</v>
      </c>
      <c r="P444" s="104">
        <v>960.76707728127735</v>
      </c>
      <c r="Q444" s="104">
        <v>7.4240169805091227</v>
      </c>
      <c r="R444" s="96"/>
      <c r="Y444" s="88"/>
      <c r="Z444" s="88"/>
      <c r="AA444" s="88"/>
    </row>
    <row r="445" spans="14:27" x14ac:dyDescent="0.3">
      <c r="N445" s="104">
        <v>0</v>
      </c>
      <c r="O445" s="104">
        <f t="shared" si="7"/>
        <v>80.064243116773525</v>
      </c>
      <c r="P445" s="104">
        <v>960.7709174012823</v>
      </c>
      <c r="Q445" s="104">
        <v>7.4241127552528781</v>
      </c>
      <c r="R445" s="96"/>
      <c r="Y445" s="88"/>
      <c r="Z445" s="88"/>
      <c r="AA445" s="88"/>
    </row>
    <row r="446" spans="14:27" x14ac:dyDescent="0.3">
      <c r="N446" s="104">
        <v>0</v>
      </c>
      <c r="O446" s="104">
        <f t="shared" si="7"/>
        <v>80.064403121773736</v>
      </c>
      <c r="P446" s="104">
        <v>960.77283746128478</v>
      </c>
      <c r="Q446" s="104">
        <v>7.4241606429774833</v>
      </c>
      <c r="R446" s="96"/>
      <c r="Y446" s="88"/>
      <c r="Z446" s="88"/>
      <c r="AA446" s="88"/>
    </row>
    <row r="447" spans="14:27" x14ac:dyDescent="0.3">
      <c r="N447" s="104">
        <v>0</v>
      </c>
      <c r="O447" s="104">
        <f t="shared" si="7"/>
        <v>80.363996977171382</v>
      </c>
      <c r="P447" s="104">
        <v>964.36796372605659</v>
      </c>
      <c r="Q447" s="104">
        <v>7.5143644437244461</v>
      </c>
      <c r="R447" s="96"/>
      <c r="Y447" s="88"/>
      <c r="Z447" s="88"/>
      <c r="AA447" s="88"/>
    </row>
    <row r="448" spans="14:27" x14ac:dyDescent="0.3">
      <c r="N448" s="104">
        <v>0</v>
      </c>
      <c r="O448" s="104">
        <f t="shared" si="7"/>
        <v>80.364156982171593</v>
      </c>
      <c r="P448" s="104">
        <v>964.36988378605906</v>
      </c>
      <c r="Q448" s="104">
        <v>7.5144129129901103</v>
      </c>
      <c r="R448" s="96"/>
      <c r="Y448" s="88"/>
      <c r="Z448" s="88"/>
      <c r="AA448" s="88"/>
    </row>
    <row r="449" spans="14:27" x14ac:dyDescent="0.3">
      <c r="N449" s="104">
        <v>0</v>
      </c>
      <c r="O449" s="104">
        <f t="shared" si="7"/>
        <v>80.364476992172001</v>
      </c>
      <c r="P449" s="104">
        <v>964.37372390606401</v>
      </c>
      <c r="Q449" s="104">
        <v>7.5145098523159106</v>
      </c>
      <c r="R449" s="96"/>
      <c r="Y449" s="88"/>
      <c r="Z449" s="88"/>
      <c r="AA449" s="88"/>
    </row>
    <row r="450" spans="14:27" x14ac:dyDescent="0.3">
      <c r="N450" s="104">
        <v>0</v>
      </c>
      <c r="O450" s="104">
        <f t="shared" si="7"/>
        <v>80.364636997172212</v>
      </c>
      <c r="P450" s="104">
        <v>964.37564396606649</v>
      </c>
      <c r="Q450" s="104">
        <v>7.5145583224235963</v>
      </c>
      <c r="R450" s="96"/>
      <c r="Y450" s="88"/>
      <c r="Z450" s="88"/>
      <c r="AA450" s="88"/>
    </row>
    <row r="451" spans="14:27" x14ac:dyDescent="0.3">
      <c r="N451" s="104">
        <v>0</v>
      </c>
      <c r="O451" s="104">
        <f t="shared" si="7"/>
        <v>80.952352220788939</v>
      </c>
      <c r="P451" s="104">
        <v>971.42822664946721</v>
      </c>
      <c r="Q451" s="104">
        <v>7.6948415066780171</v>
      </c>
      <c r="R451" s="96"/>
      <c r="Y451" s="88"/>
      <c r="Z451" s="88"/>
      <c r="AA451" s="88"/>
    </row>
    <row r="452" spans="14:27" x14ac:dyDescent="0.3">
      <c r="N452" s="104">
        <v>0</v>
      </c>
      <c r="O452" s="104">
        <f t="shared" si="7"/>
        <v>80.952512225789135</v>
      </c>
      <c r="P452" s="104">
        <v>971.43014670946968</v>
      </c>
      <c r="Q452" s="104">
        <v>7.6948912240028449</v>
      </c>
      <c r="R452" s="96"/>
      <c r="Y452" s="88"/>
      <c r="Z452" s="88"/>
      <c r="AA452" s="88"/>
    </row>
    <row r="453" spans="14:27" x14ac:dyDescent="0.3">
      <c r="N453" s="104">
        <v>0</v>
      </c>
      <c r="O453" s="104">
        <f t="shared" si="7"/>
        <v>80.952832235789558</v>
      </c>
      <c r="P453" s="104">
        <v>971.43398682947463</v>
      </c>
      <c r="Q453" s="104">
        <v>7.6949906598071891</v>
      </c>
      <c r="R453" s="96"/>
      <c r="Y453" s="88"/>
      <c r="Z453" s="88"/>
      <c r="AA453" s="88"/>
    </row>
    <row r="454" spans="14:27" x14ac:dyDescent="0.3">
      <c r="N454" s="104">
        <v>0</v>
      </c>
      <c r="O454" s="104">
        <f t="shared" si="7"/>
        <v>80.952992240789754</v>
      </c>
      <c r="P454" s="104">
        <v>971.43590688947711</v>
      </c>
      <c r="Q454" s="104">
        <v>7.6950403782542196</v>
      </c>
      <c r="R454" s="96"/>
      <c r="Y454" s="88"/>
      <c r="Z454" s="88"/>
      <c r="AA454" s="88"/>
    </row>
    <row r="455" spans="14:27" x14ac:dyDescent="0.3">
      <c r="N455" s="104">
        <v>0</v>
      </c>
      <c r="O455" s="104">
        <f t="shared" ref="O455:O518" si="8">P455/12</f>
        <v>81.81393004153351</v>
      </c>
      <c r="P455" s="104">
        <v>981.76716049840206</v>
      </c>
      <c r="Q455" s="104">
        <v>7.9680266763031682</v>
      </c>
      <c r="R455" s="96"/>
      <c r="Y455" s="88"/>
      <c r="Z455" s="88"/>
      <c r="AA455" s="88"/>
    </row>
    <row r="456" spans="14:27" x14ac:dyDescent="0.3">
      <c r="N456" s="104">
        <v>0</v>
      </c>
      <c r="O456" s="104">
        <f t="shared" si="8"/>
        <v>81.814090046533707</v>
      </c>
      <c r="P456" s="104">
        <v>981.76908055840454</v>
      </c>
      <c r="Q456" s="104">
        <v>7.9680784773481435</v>
      </c>
      <c r="R456" s="96"/>
      <c r="Y456" s="88"/>
      <c r="Z456" s="88"/>
      <c r="AA456" s="88"/>
    </row>
    <row r="457" spans="14:27" x14ac:dyDescent="0.3">
      <c r="N457" s="104">
        <v>0</v>
      </c>
      <c r="O457" s="104">
        <f t="shared" si="8"/>
        <v>81.814410056534129</v>
      </c>
      <c r="P457" s="104">
        <v>981.77292067840949</v>
      </c>
      <c r="Q457" s="104">
        <v>7.9681820806526389</v>
      </c>
      <c r="R457" s="96"/>
      <c r="Y457" s="88"/>
      <c r="Z457" s="88"/>
      <c r="AA457" s="88"/>
    </row>
    <row r="458" spans="14:27" x14ac:dyDescent="0.3">
      <c r="N458" s="104">
        <v>0</v>
      </c>
      <c r="O458" s="104">
        <f t="shared" si="8"/>
        <v>81.814570061534326</v>
      </c>
      <c r="P458" s="104">
        <v>981.77484073841197</v>
      </c>
      <c r="Q458" s="104">
        <v>7.9682338829447588</v>
      </c>
      <c r="R458" s="96"/>
      <c r="Y458" s="88"/>
      <c r="Z458" s="88"/>
      <c r="AA458" s="88"/>
    </row>
    <row r="459" spans="14:27" x14ac:dyDescent="0.3">
      <c r="N459" s="104">
        <v>0</v>
      </c>
      <c r="O459" s="104">
        <f t="shared" si="8"/>
        <v>82.675507862278081</v>
      </c>
      <c r="P459" s="104">
        <v>992.10609434733692</v>
      </c>
      <c r="Q459" s="104">
        <v>8.2532501685505224</v>
      </c>
      <c r="R459" s="96"/>
      <c r="Y459" s="88"/>
      <c r="Z459" s="88"/>
      <c r="AA459" s="88"/>
    </row>
    <row r="460" spans="14:27" x14ac:dyDescent="0.3">
      <c r="N460" s="104">
        <v>0</v>
      </c>
      <c r="O460" s="104">
        <f t="shared" si="8"/>
        <v>82.675667867278278</v>
      </c>
      <c r="P460" s="104">
        <v>992.1080144073394</v>
      </c>
      <c r="Q460" s="104">
        <v>8.2533043573642715</v>
      </c>
      <c r="R460" s="96"/>
      <c r="Y460" s="88"/>
      <c r="Z460" s="88"/>
      <c r="AA460" s="88"/>
    </row>
    <row r="461" spans="14:27" x14ac:dyDescent="0.3">
      <c r="N461" s="104">
        <v>0</v>
      </c>
      <c r="O461" s="104">
        <f t="shared" si="8"/>
        <v>82.6759878772787</v>
      </c>
      <c r="P461" s="104">
        <v>992.11185452734435</v>
      </c>
      <c r="Q461" s="104">
        <v>8.2534127361258243</v>
      </c>
      <c r="R461" s="96"/>
      <c r="Y461" s="88"/>
      <c r="Z461" s="88"/>
      <c r="AA461" s="88"/>
    </row>
    <row r="462" spans="14:27" x14ac:dyDescent="0.3">
      <c r="N462" s="104">
        <v>0</v>
      </c>
      <c r="O462" s="104">
        <f t="shared" si="8"/>
        <v>82.676147882278897</v>
      </c>
      <c r="P462" s="104">
        <v>992.11377458734682</v>
      </c>
      <c r="Q462" s="104">
        <v>8.2534669262602165</v>
      </c>
      <c r="R462" s="96"/>
      <c r="Y462" s="88"/>
      <c r="Z462" s="88"/>
      <c r="AA462" s="88"/>
    </row>
    <row r="463" spans="14:27" x14ac:dyDescent="0.3">
      <c r="N463" s="104">
        <v>0</v>
      </c>
      <c r="O463" s="104">
        <f t="shared" si="8"/>
        <v>83.263863105895624</v>
      </c>
      <c r="P463" s="104">
        <v>999.16635727074754</v>
      </c>
      <c r="Q463" s="104">
        <v>8.455782508373602</v>
      </c>
      <c r="R463" s="96"/>
      <c r="Y463" s="88"/>
      <c r="Z463" s="88"/>
      <c r="AA463" s="88"/>
    </row>
    <row r="464" spans="14:27" x14ac:dyDescent="0.3">
      <c r="N464" s="104">
        <v>0</v>
      </c>
      <c r="O464" s="104">
        <f t="shared" si="8"/>
        <v>83.264023110895835</v>
      </c>
      <c r="P464" s="104">
        <v>999.16827733075002</v>
      </c>
      <c r="Q464" s="104">
        <v>8.4558385025119094</v>
      </c>
      <c r="R464" s="96"/>
      <c r="Y464" s="88"/>
      <c r="Z464" s="88"/>
      <c r="AA464" s="88"/>
    </row>
    <row r="465" spans="14:27" x14ac:dyDescent="0.3">
      <c r="N465" s="104">
        <v>0</v>
      </c>
      <c r="O465" s="104">
        <f t="shared" si="8"/>
        <v>83.264343120896243</v>
      </c>
      <c r="P465" s="104">
        <v>999.17211745075497</v>
      </c>
      <c r="Q465" s="104">
        <v>8.4559504919145922</v>
      </c>
      <c r="R465" s="96"/>
      <c r="Y465" s="88"/>
      <c r="Z465" s="88"/>
      <c r="AA465" s="88"/>
    </row>
    <row r="466" spans="14:27" x14ac:dyDescent="0.3">
      <c r="N466" s="104">
        <v>0</v>
      </c>
      <c r="O466" s="104">
        <f t="shared" si="8"/>
        <v>83.264503125896454</v>
      </c>
      <c r="P466" s="104">
        <v>999.17403751075744</v>
      </c>
      <c r="Q466" s="104">
        <v>8.4560064874630712</v>
      </c>
      <c r="R466" s="96"/>
      <c r="Y466" s="88"/>
      <c r="Z466" s="88"/>
      <c r="AA466" s="88"/>
    </row>
    <row r="467" spans="14:27" x14ac:dyDescent="0.3">
      <c r="N467" s="104">
        <v>0</v>
      </c>
      <c r="O467" s="104">
        <f t="shared" si="8"/>
        <v>83.564096981294085</v>
      </c>
      <c r="P467" s="104">
        <v>1002.769163775529</v>
      </c>
      <c r="Q467" s="104">
        <v>8.5617590325890944</v>
      </c>
      <c r="R467" s="96"/>
      <c r="Y467" s="88"/>
      <c r="Z467" s="88"/>
      <c r="AA467" s="88"/>
    </row>
    <row r="468" spans="14:27" x14ac:dyDescent="0.3">
      <c r="N468" s="104">
        <v>0</v>
      </c>
      <c r="O468" s="104">
        <f t="shared" si="8"/>
        <v>83.564256986294296</v>
      </c>
      <c r="P468" s="104">
        <v>1002.7710838355315</v>
      </c>
      <c r="Q468" s="104">
        <v>8.561816002362832</v>
      </c>
      <c r="R468" s="96"/>
      <c r="Y468" s="88"/>
      <c r="Z468" s="88"/>
      <c r="AA468" s="88"/>
    </row>
    <row r="469" spans="14:27" x14ac:dyDescent="0.3">
      <c r="N469" s="104">
        <v>0</v>
      </c>
      <c r="O469" s="104">
        <f t="shared" si="8"/>
        <v>83.564576996294704</v>
      </c>
      <c r="P469" s="104">
        <v>1002.7749239555365</v>
      </c>
      <c r="Q469" s="104">
        <v>8.5619299433875824</v>
      </c>
      <c r="R469" s="96"/>
      <c r="Y469" s="88"/>
      <c r="Z469" s="88"/>
      <c r="AA469" s="88"/>
    </row>
    <row r="470" spans="14:27" x14ac:dyDescent="0.3">
      <c r="N470" s="104">
        <v>0</v>
      </c>
      <c r="O470" s="104">
        <f t="shared" si="8"/>
        <v>83.564737001294915</v>
      </c>
      <c r="P470" s="104">
        <v>1002.7768440155389</v>
      </c>
      <c r="Q470" s="104">
        <v>8.5619869149147689</v>
      </c>
      <c r="R470" s="96"/>
      <c r="Y470" s="88"/>
      <c r="Z470" s="88"/>
      <c r="AA470" s="88"/>
    </row>
    <row r="471" spans="14:27" x14ac:dyDescent="0.3">
      <c r="N471" s="104">
        <v>0</v>
      </c>
      <c r="O471" s="104">
        <f t="shared" si="8"/>
        <v>84.152452224911642</v>
      </c>
      <c r="P471" s="104">
        <v>1009.8294266989396</v>
      </c>
      <c r="Q471" s="104">
        <v>8.7749112934573077</v>
      </c>
      <c r="R471" s="96"/>
      <c r="Y471" s="88"/>
      <c r="Z471" s="88"/>
      <c r="AA471" s="88"/>
    </row>
    <row r="472" spans="14:27" x14ac:dyDescent="0.3">
      <c r="N472" s="104">
        <v>0</v>
      </c>
      <c r="O472" s="104">
        <f t="shared" si="8"/>
        <v>84.152612229911838</v>
      </c>
      <c r="P472" s="104">
        <v>1009.8313467589421</v>
      </c>
      <c r="Q472" s="104">
        <v>8.7749702826275211</v>
      </c>
      <c r="R472" s="96"/>
      <c r="Y472" s="88"/>
      <c r="Z472" s="88"/>
      <c r="AA472" s="88"/>
    </row>
    <row r="473" spans="14:27" x14ac:dyDescent="0.3">
      <c r="N473" s="104">
        <v>0</v>
      </c>
      <c r="O473" s="104">
        <f t="shared" si="8"/>
        <v>84.152932239912261</v>
      </c>
      <c r="P473" s="104">
        <v>1009.8351868789471</v>
      </c>
      <c r="Q473" s="104">
        <v>8.7750882625603595</v>
      </c>
      <c r="R473" s="96"/>
      <c r="Y473" s="88"/>
      <c r="Z473" s="88"/>
      <c r="AA473" s="88"/>
    </row>
    <row r="474" spans="14:27" x14ac:dyDescent="0.3">
      <c r="N474" s="104">
        <v>0</v>
      </c>
      <c r="O474" s="104">
        <f t="shared" si="8"/>
        <v>84.153092244912457</v>
      </c>
      <c r="P474" s="104">
        <v>1009.8371069389495</v>
      </c>
      <c r="Q474" s="104">
        <v>8.7751472533985577</v>
      </c>
      <c r="R474" s="96"/>
      <c r="Y474" s="88"/>
      <c r="Z474" s="88"/>
      <c r="AA474" s="88"/>
    </row>
    <row r="475" spans="14:27" x14ac:dyDescent="0.3">
      <c r="N475" s="104">
        <v>0</v>
      </c>
      <c r="O475" s="104">
        <f t="shared" si="8"/>
        <v>85.014030045656213</v>
      </c>
      <c r="P475" s="104">
        <v>1020.1683605478745</v>
      </c>
      <c r="Q475" s="104">
        <v>9.1010624208894626</v>
      </c>
      <c r="R475" s="96"/>
      <c r="Y475" s="88"/>
      <c r="Z475" s="88"/>
      <c r="AA475" s="88"/>
    </row>
    <row r="476" spans="14:27" x14ac:dyDescent="0.3">
      <c r="N476" s="104">
        <v>0</v>
      </c>
      <c r="O476" s="104">
        <f t="shared" si="8"/>
        <v>85.01419005065641</v>
      </c>
      <c r="P476" s="104">
        <v>1020.170280607877</v>
      </c>
      <c r="Q476" s="104">
        <v>9.1011246230251857</v>
      </c>
      <c r="R476" s="96"/>
      <c r="Y476" s="88"/>
      <c r="Z476" s="88"/>
      <c r="AA476" s="88"/>
    </row>
    <row r="477" spans="14:27" x14ac:dyDescent="0.3">
      <c r="N477" s="104">
        <v>0</v>
      </c>
      <c r="O477" s="104">
        <f t="shared" si="8"/>
        <v>85.014510060656832</v>
      </c>
      <c r="P477" s="104">
        <v>1020.1741207278819</v>
      </c>
      <c r="Q477" s="104">
        <v>9.1012490294010036</v>
      </c>
      <c r="R477" s="96"/>
      <c r="Y477" s="88"/>
      <c r="Z477" s="88"/>
      <c r="AA477" s="88"/>
    </row>
    <row r="478" spans="14:27" x14ac:dyDescent="0.3">
      <c r="N478" s="104">
        <v>0</v>
      </c>
      <c r="O478" s="104">
        <f t="shared" si="8"/>
        <v>85.014670065657029</v>
      </c>
      <c r="P478" s="104">
        <v>1020.1760407878844</v>
      </c>
      <c r="Q478" s="104">
        <v>9.1013112334263155</v>
      </c>
      <c r="R478" s="96"/>
      <c r="Y478" s="88"/>
      <c r="Z478" s="88"/>
      <c r="AA478" s="88"/>
    </row>
    <row r="479" spans="14:27" x14ac:dyDescent="0.3">
      <c r="N479" s="104">
        <v>0</v>
      </c>
      <c r="O479" s="104">
        <f t="shared" si="8"/>
        <v>85.875607866400784</v>
      </c>
      <c r="P479" s="104">
        <v>1030.5072943968094</v>
      </c>
      <c r="Q479" s="104">
        <v>9.4453330203160704</v>
      </c>
      <c r="R479" s="96"/>
      <c r="Y479" s="88"/>
      <c r="Z479" s="88"/>
      <c r="AA479" s="88"/>
    </row>
    <row r="480" spans="14:27" x14ac:dyDescent="0.3">
      <c r="N480" s="104">
        <v>0</v>
      </c>
      <c r="O480" s="104">
        <f t="shared" si="8"/>
        <v>85.875767871400981</v>
      </c>
      <c r="P480" s="104">
        <v>1030.5092144568118</v>
      </c>
      <c r="Q480" s="104">
        <v>9.4453987395608578</v>
      </c>
      <c r="R480" s="96"/>
      <c r="Y480" s="88"/>
      <c r="Z480" s="88"/>
      <c r="AA480" s="88"/>
    </row>
    <row r="481" spans="14:27" x14ac:dyDescent="0.3">
      <c r="N481" s="104">
        <v>0</v>
      </c>
      <c r="O481" s="104">
        <f t="shared" si="8"/>
        <v>85.876087881401403</v>
      </c>
      <c r="P481" s="104">
        <v>1030.5130545768168</v>
      </c>
      <c r="Q481" s="104">
        <v>9.4455301800636278</v>
      </c>
      <c r="R481" s="96"/>
      <c r="Y481" s="88"/>
      <c r="Z481" s="88"/>
      <c r="AA481" s="88"/>
    </row>
    <row r="482" spans="14:27" x14ac:dyDescent="0.3">
      <c r="N482" s="104">
        <v>0</v>
      </c>
      <c r="O482" s="104">
        <f t="shared" si="8"/>
        <v>85.8762478864016</v>
      </c>
      <c r="P482" s="104">
        <v>1030.5149746368193</v>
      </c>
      <c r="Q482" s="104">
        <v>9.4455959013238839</v>
      </c>
      <c r="R482" s="96"/>
      <c r="Y482" s="88"/>
      <c r="Z482" s="88"/>
      <c r="AA482" s="88"/>
    </row>
    <row r="483" spans="14:27" x14ac:dyDescent="0.3">
      <c r="N483" s="104">
        <v>0</v>
      </c>
      <c r="O483" s="104">
        <f t="shared" si="8"/>
        <v>86.463963110018327</v>
      </c>
      <c r="P483" s="104">
        <v>1037.56755732022</v>
      </c>
      <c r="Q483" s="104">
        <v>9.691681763928699</v>
      </c>
      <c r="R483" s="96"/>
      <c r="Y483" s="88"/>
      <c r="Z483" s="88"/>
      <c r="AA483" s="88"/>
    </row>
    <row r="484" spans="14:27" x14ac:dyDescent="0.3">
      <c r="N484" s="104">
        <v>0</v>
      </c>
      <c r="O484" s="104">
        <f t="shared" si="8"/>
        <v>86.464123115018538</v>
      </c>
      <c r="P484" s="104">
        <v>1037.5694773802225</v>
      </c>
      <c r="Q484" s="104">
        <v>9.6917500597740229</v>
      </c>
      <c r="R484" s="96"/>
      <c r="Y484" s="88"/>
      <c r="Z484" s="88"/>
      <c r="AA484" s="88"/>
    </row>
    <row r="485" spans="14:27" x14ac:dyDescent="0.3">
      <c r="N485" s="104">
        <v>0</v>
      </c>
      <c r="O485" s="104">
        <f t="shared" si="8"/>
        <v>86.464443125018946</v>
      </c>
      <c r="P485" s="104">
        <v>1037.5733175002274</v>
      </c>
      <c r="Q485" s="104">
        <v>9.6918866532313928</v>
      </c>
      <c r="R485" s="96"/>
      <c r="Y485" s="88"/>
      <c r="Z485" s="88"/>
      <c r="AA485" s="88"/>
    </row>
    <row r="486" spans="14:27" x14ac:dyDescent="0.3">
      <c r="N486" s="104">
        <v>0</v>
      </c>
      <c r="O486" s="104">
        <f t="shared" si="8"/>
        <v>86.464603130019157</v>
      </c>
      <c r="P486" s="104">
        <v>1037.5752375602299</v>
      </c>
      <c r="Q486" s="104">
        <v>9.6919549510667196</v>
      </c>
      <c r="R486" s="96"/>
      <c r="Y486" s="88"/>
      <c r="Z486" s="88"/>
      <c r="AA486" s="88"/>
    </row>
    <row r="487" spans="14:27" x14ac:dyDescent="0.3">
      <c r="N487" s="104">
        <v>0</v>
      </c>
      <c r="O487" s="104">
        <f t="shared" si="8"/>
        <v>86.764196985416802</v>
      </c>
      <c r="P487" s="104">
        <v>1041.1703638250017</v>
      </c>
      <c r="Q487" s="104">
        <v>9.8211102795544321</v>
      </c>
      <c r="R487" s="96"/>
      <c r="Y487" s="88"/>
      <c r="Z487" s="88"/>
      <c r="AA487" s="88"/>
    </row>
    <row r="488" spans="14:27" x14ac:dyDescent="0.3">
      <c r="N488" s="104">
        <v>0</v>
      </c>
      <c r="O488" s="104">
        <f t="shared" si="8"/>
        <v>86.764356990417014</v>
      </c>
      <c r="P488" s="104">
        <v>1041.1722838850042</v>
      </c>
      <c r="Q488" s="104">
        <v>9.8211799444177643</v>
      </c>
      <c r="R488" s="96"/>
      <c r="Y488" s="88"/>
      <c r="Z488" s="88"/>
      <c r="AA488" s="88"/>
    </row>
    <row r="489" spans="14:27" x14ac:dyDescent="0.3">
      <c r="N489" s="104">
        <v>0</v>
      </c>
      <c r="O489" s="104">
        <f t="shared" si="8"/>
        <v>86.764677000417421</v>
      </c>
      <c r="P489" s="104">
        <v>1041.1761240050091</v>
      </c>
      <c r="Q489" s="104">
        <v>9.8213192768847648</v>
      </c>
      <c r="R489" s="96"/>
      <c r="Y489" s="88"/>
      <c r="Z489" s="88"/>
      <c r="AA489" s="88"/>
    </row>
    <row r="490" spans="14:27" x14ac:dyDescent="0.3">
      <c r="N490" s="104">
        <v>0</v>
      </c>
      <c r="O490" s="104">
        <f t="shared" si="8"/>
        <v>86.764837005417633</v>
      </c>
      <c r="P490" s="104">
        <v>1041.1780440650116</v>
      </c>
      <c r="Q490" s="104">
        <v>9.8213889441507831</v>
      </c>
      <c r="R490" s="96"/>
      <c r="Y490" s="88"/>
      <c r="Z490" s="88"/>
      <c r="AA490" s="88"/>
    </row>
    <row r="491" spans="14:27" x14ac:dyDescent="0.3">
      <c r="N491" s="104">
        <v>0</v>
      </c>
      <c r="O491" s="104">
        <f t="shared" si="8"/>
        <v>87.352552229034359</v>
      </c>
      <c r="P491" s="104">
        <v>1048.2306267484123</v>
      </c>
      <c r="Q491" s="104">
        <v>10.082361826464279</v>
      </c>
      <c r="R491" s="96"/>
      <c r="Y491" s="88"/>
      <c r="Z491" s="88"/>
      <c r="AA491" s="88"/>
    </row>
    <row r="492" spans="14:27" x14ac:dyDescent="0.3">
      <c r="N492" s="104">
        <v>0</v>
      </c>
      <c r="O492" s="104">
        <f t="shared" si="8"/>
        <v>87.35271223403457</v>
      </c>
      <c r="P492" s="104">
        <v>1048.2325468084148</v>
      </c>
      <c r="Q492" s="104">
        <v>10.082434282021154</v>
      </c>
      <c r="R492" s="96"/>
      <c r="Y492" s="88"/>
      <c r="Z492" s="88"/>
      <c r="AA492" s="88"/>
    </row>
    <row r="493" spans="14:27" x14ac:dyDescent="0.3">
      <c r="N493" s="104">
        <v>0</v>
      </c>
      <c r="O493" s="104">
        <f t="shared" si="8"/>
        <v>87.353032244034978</v>
      </c>
      <c r="P493" s="104">
        <v>1048.2363869284197</v>
      </c>
      <c r="Q493" s="104">
        <v>10.082579195712498</v>
      </c>
      <c r="R493" s="96"/>
      <c r="Y493" s="88"/>
      <c r="Z493" s="88"/>
      <c r="AA493" s="88"/>
    </row>
    <row r="494" spans="14:27" x14ac:dyDescent="0.3">
      <c r="N494" s="104">
        <v>0</v>
      </c>
      <c r="O494" s="104">
        <f t="shared" si="8"/>
        <v>87.353192249035189</v>
      </c>
      <c r="P494" s="104">
        <v>1048.2383069884222</v>
      </c>
      <c r="Q494" s="104">
        <v>10.082651653687179</v>
      </c>
      <c r="R494" s="96"/>
      <c r="Y494" s="88"/>
      <c r="Z494" s="88"/>
      <c r="AA494" s="88"/>
    </row>
    <row r="495" spans="14:27" x14ac:dyDescent="0.3">
      <c r="N495" s="104">
        <v>0</v>
      </c>
      <c r="O495" s="104">
        <f t="shared" si="8"/>
        <v>88.21413004977893</v>
      </c>
      <c r="P495" s="104">
        <v>1058.5695605973472</v>
      </c>
      <c r="Q495" s="104">
        <v>10.484065668702442</v>
      </c>
      <c r="R495" s="96"/>
      <c r="Y495" s="88"/>
      <c r="Z495" s="88"/>
      <c r="AA495" s="88"/>
    </row>
    <row r="496" spans="14:27" x14ac:dyDescent="0.3">
      <c r="N496" s="104">
        <v>0</v>
      </c>
      <c r="O496" s="104">
        <f t="shared" si="8"/>
        <v>88.214290054779141</v>
      </c>
      <c r="P496" s="104">
        <v>1058.5714806573496</v>
      </c>
      <c r="Q496" s="104">
        <v>10.484142466630345</v>
      </c>
      <c r="R496" s="96"/>
      <c r="Y496" s="88"/>
      <c r="Z496" s="88"/>
      <c r="AA496" s="88"/>
    </row>
    <row r="497" spans="14:27" x14ac:dyDescent="0.3">
      <c r="N497" s="104">
        <v>0</v>
      </c>
      <c r="O497" s="104">
        <f t="shared" si="8"/>
        <v>88.214610064779549</v>
      </c>
      <c r="P497" s="104">
        <v>1058.5753207773546</v>
      </c>
      <c r="Q497" s="104">
        <v>10.484296065183599</v>
      </c>
      <c r="R497" s="96"/>
      <c r="Y497" s="88"/>
      <c r="Z497" s="88"/>
      <c r="AA497" s="88"/>
    </row>
    <row r="498" spans="14:27" x14ac:dyDescent="0.3">
      <c r="N498" s="104">
        <v>0</v>
      </c>
      <c r="O498" s="104">
        <f t="shared" si="8"/>
        <v>88.21477006977976</v>
      </c>
      <c r="P498" s="104">
        <v>1058.5772408373571</v>
      </c>
      <c r="Q498" s="104">
        <v>10.484372865635777</v>
      </c>
      <c r="R498" s="96"/>
      <c r="Y498" s="88"/>
      <c r="Z498" s="88"/>
      <c r="AA498" s="88"/>
    </row>
    <row r="499" spans="14:27" x14ac:dyDescent="0.3">
      <c r="N499" s="104">
        <v>0</v>
      </c>
      <c r="O499" s="104">
        <f t="shared" si="8"/>
        <v>89.075707870523502</v>
      </c>
      <c r="P499" s="104">
        <v>1068.908494446282</v>
      </c>
      <c r="Q499" s="104">
        <v>10.90997009794205</v>
      </c>
      <c r="R499" s="96"/>
      <c r="Y499" s="88"/>
      <c r="Z499" s="88"/>
      <c r="AA499" s="88"/>
    </row>
    <row r="500" spans="14:27" x14ac:dyDescent="0.3">
      <c r="N500" s="104">
        <v>0</v>
      </c>
      <c r="O500" s="104">
        <f t="shared" si="8"/>
        <v>89.075867875523713</v>
      </c>
      <c r="P500" s="104">
        <v>1068.9104145062845</v>
      </c>
      <c r="Q500" s="104">
        <v>10.910051542453033</v>
      </c>
      <c r="R500" s="96"/>
      <c r="Y500" s="88"/>
      <c r="Z500" s="88"/>
      <c r="AA500" s="88"/>
    </row>
    <row r="501" spans="14:27" x14ac:dyDescent="0.3">
      <c r="N501" s="104">
        <v>0</v>
      </c>
      <c r="O501" s="104">
        <f t="shared" si="8"/>
        <v>89.076187885524121</v>
      </c>
      <c r="P501" s="104">
        <v>1068.9142546262894</v>
      </c>
      <c r="Q501" s="104">
        <v>10.910214433932993</v>
      </c>
      <c r="R501" s="96"/>
      <c r="Y501" s="88"/>
      <c r="Z501" s="88"/>
      <c r="AA501" s="88"/>
    </row>
    <row r="502" spans="14:27" x14ac:dyDescent="0.3">
      <c r="N502" s="104">
        <v>0</v>
      </c>
      <c r="O502" s="104">
        <f t="shared" si="8"/>
        <v>89.076347890524332</v>
      </c>
      <c r="P502" s="104">
        <v>1068.9161746862919</v>
      </c>
      <c r="Q502" s="104">
        <v>10.910295880901913</v>
      </c>
      <c r="R502" s="96"/>
      <c r="Y502" s="88"/>
      <c r="Z502" s="88"/>
      <c r="AA502" s="88"/>
    </row>
    <row r="503" spans="14:27" x14ac:dyDescent="0.3">
      <c r="N503" s="104">
        <v>0</v>
      </c>
      <c r="O503" s="104">
        <f t="shared" si="8"/>
        <v>89.664063114141058</v>
      </c>
      <c r="P503" s="104">
        <v>1075.9687573696926</v>
      </c>
      <c r="Q503" s="104">
        <v>11.215559271456897</v>
      </c>
      <c r="R503" s="96"/>
      <c r="Y503" s="88"/>
      <c r="Z503" s="88"/>
      <c r="AA503" s="88"/>
    </row>
    <row r="504" spans="14:27" x14ac:dyDescent="0.3">
      <c r="N504" s="104">
        <v>0</v>
      </c>
      <c r="O504" s="104">
        <f t="shared" si="8"/>
        <v>89.664223119141255</v>
      </c>
      <c r="P504" s="104">
        <v>1075.9706774296951</v>
      </c>
      <c r="Q504" s="104">
        <v>11.21564406335267</v>
      </c>
      <c r="R504" s="96"/>
      <c r="Y504" s="88"/>
      <c r="Z504" s="88"/>
      <c r="AA504" s="88"/>
    </row>
    <row r="505" spans="14:27" x14ac:dyDescent="0.3">
      <c r="N505" s="104">
        <v>0</v>
      </c>
      <c r="O505" s="104">
        <f t="shared" si="8"/>
        <v>89.664543129141677</v>
      </c>
      <c r="P505" s="104">
        <v>1075.9745175497001</v>
      </c>
      <c r="Q505" s="104">
        <v>11.215813650164478</v>
      </c>
      <c r="R505" s="96"/>
      <c r="Y505" s="88"/>
      <c r="Z505" s="88"/>
      <c r="AA505" s="88"/>
    </row>
    <row r="506" spans="14:27" x14ac:dyDescent="0.3">
      <c r="N506" s="104">
        <v>0</v>
      </c>
      <c r="O506" s="104">
        <f t="shared" si="8"/>
        <v>89.664703134141874</v>
      </c>
      <c r="P506" s="104">
        <v>1075.9764376097025</v>
      </c>
      <c r="Q506" s="104">
        <v>11.215898444944941</v>
      </c>
      <c r="R506" s="96"/>
      <c r="Y506" s="88"/>
      <c r="Z506" s="88"/>
      <c r="AA506" s="88"/>
    </row>
    <row r="507" spans="14:27" x14ac:dyDescent="0.3">
      <c r="N507" s="104">
        <v>0</v>
      </c>
      <c r="O507" s="104">
        <f t="shared" si="8"/>
        <v>89.964296989539534</v>
      </c>
      <c r="P507" s="104">
        <v>1079.5715638744744</v>
      </c>
      <c r="Q507" s="104">
        <v>11.376310552068901</v>
      </c>
      <c r="R507" s="96"/>
      <c r="Y507" s="88"/>
      <c r="Z507" s="88"/>
      <c r="AA507" s="88"/>
    </row>
    <row r="508" spans="14:27" x14ac:dyDescent="0.3">
      <c r="N508" s="104">
        <v>0</v>
      </c>
      <c r="O508" s="104">
        <f t="shared" si="8"/>
        <v>89.964456994539731</v>
      </c>
      <c r="P508" s="104">
        <v>1079.5734839344768</v>
      </c>
      <c r="Q508" s="104">
        <v>11.376397106938242</v>
      </c>
      <c r="R508" s="96"/>
      <c r="Y508" s="88"/>
      <c r="Z508" s="88"/>
      <c r="AA508" s="88"/>
    </row>
    <row r="509" spans="14:27" x14ac:dyDescent="0.3">
      <c r="N509" s="104">
        <v>0</v>
      </c>
      <c r="O509" s="104">
        <f t="shared" si="8"/>
        <v>89.964777004540153</v>
      </c>
      <c r="P509" s="104">
        <v>1079.5773240544818</v>
      </c>
      <c r="Q509" s="104">
        <v>11.376570219668366</v>
      </c>
      <c r="R509" s="96"/>
      <c r="Y509" s="88"/>
      <c r="Z509" s="88"/>
      <c r="AA509" s="88"/>
    </row>
    <row r="510" spans="14:27" x14ac:dyDescent="0.3">
      <c r="N510" s="104">
        <v>0</v>
      </c>
      <c r="O510" s="104">
        <f t="shared" si="8"/>
        <v>89.96493700954035</v>
      </c>
      <c r="P510" s="104">
        <v>1079.5792441144843</v>
      </c>
      <c r="Q510" s="104">
        <v>11.376656777323149</v>
      </c>
      <c r="R510" s="96"/>
      <c r="Y510" s="88"/>
      <c r="Z510" s="88"/>
      <c r="AA510" s="88"/>
    </row>
    <row r="511" spans="14:27" x14ac:dyDescent="0.3">
      <c r="N511" s="104">
        <v>0</v>
      </c>
      <c r="O511" s="104">
        <f t="shared" si="8"/>
        <v>90.552652233157076</v>
      </c>
      <c r="P511" s="104">
        <v>1086.631826797885</v>
      </c>
      <c r="Q511" s="104">
        <v>11.701085383085484</v>
      </c>
      <c r="R511" s="96"/>
      <c r="Y511" s="88"/>
      <c r="Z511" s="88"/>
      <c r="AA511" s="88"/>
    </row>
    <row r="512" spans="14:27" x14ac:dyDescent="0.3">
      <c r="N512" s="104">
        <v>0</v>
      </c>
      <c r="O512" s="104">
        <f t="shared" si="8"/>
        <v>90.552812238157287</v>
      </c>
      <c r="P512" s="104">
        <v>1086.6337468578874</v>
      </c>
      <c r="Q512" s="104">
        <v>11.70117549983874</v>
      </c>
      <c r="R512" s="96"/>
      <c r="Y512" s="88"/>
      <c r="Z512" s="88"/>
      <c r="AA512" s="88"/>
    </row>
    <row r="513" spans="14:27" x14ac:dyDescent="0.3">
      <c r="N513" s="104">
        <v>0</v>
      </c>
      <c r="O513" s="104">
        <f t="shared" si="8"/>
        <v>90.553132248157695</v>
      </c>
      <c r="P513" s="104">
        <v>1086.6375869778924</v>
      </c>
      <c r="Q513" s="104">
        <v>11.701355736116085</v>
      </c>
      <c r="R513" s="96"/>
      <c r="Y513" s="88"/>
      <c r="Z513" s="88"/>
      <c r="AA513" s="88"/>
    </row>
    <row r="514" spans="14:27" x14ac:dyDescent="0.3">
      <c r="N514" s="104">
        <v>0</v>
      </c>
      <c r="O514" s="104">
        <f t="shared" si="8"/>
        <v>90.553292253157906</v>
      </c>
      <c r="P514" s="104">
        <v>1086.6395070378949</v>
      </c>
      <c r="Q514" s="104">
        <v>11.701445855779127</v>
      </c>
      <c r="R514" s="96"/>
      <c r="Y514" s="88"/>
      <c r="Z514" s="88"/>
      <c r="AA514" s="88"/>
    </row>
    <row r="515" spans="14:27" x14ac:dyDescent="0.3">
      <c r="N515" s="104">
        <v>0</v>
      </c>
      <c r="O515" s="104">
        <f t="shared" si="8"/>
        <v>91.414230053901647</v>
      </c>
      <c r="P515" s="104">
        <v>1096.9707606468198</v>
      </c>
      <c r="Q515" s="104">
        <v>12.200928555198942</v>
      </c>
      <c r="R515" s="96"/>
      <c r="Y515" s="88"/>
      <c r="Z515" s="88"/>
      <c r="AA515" s="88"/>
    </row>
    <row r="516" spans="14:27" x14ac:dyDescent="0.3">
      <c r="N516" s="104">
        <v>0</v>
      </c>
      <c r="O516" s="104">
        <f t="shared" si="8"/>
        <v>91.414390058901859</v>
      </c>
      <c r="P516" s="104">
        <v>1096.9726807068223</v>
      </c>
      <c r="Q516" s="104">
        <v>12.201024143586807</v>
      </c>
      <c r="R516" s="96"/>
      <c r="Y516" s="88"/>
      <c r="Z516" s="88"/>
      <c r="AA516" s="88"/>
    </row>
    <row r="517" spans="14:27" x14ac:dyDescent="0.3">
      <c r="N517" s="104">
        <v>0</v>
      </c>
      <c r="O517" s="104">
        <f t="shared" si="8"/>
        <v>91.414710068902266</v>
      </c>
      <c r="P517" s="104">
        <v>1096.9765208268273</v>
      </c>
      <c r="Q517" s="104">
        <v>12.20121532352519</v>
      </c>
      <c r="R517" s="96"/>
      <c r="Y517" s="88"/>
      <c r="Z517" s="88"/>
      <c r="AA517" s="88"/>
    </row>
    <row r="518" spans="14:27" x14ac:dyDescent="0.3">
      <c r="N518" s="104">
        <v>0</v>
      </c>
      <c r="O518" s="104">
        <f t="shared" si="8"/>
        <v>91.414870073902478</v>
      </c>
      <c r="P518" s="104">
        <v>1096.9784408868297</v>
      </c>
      <c r="Q518" s="104">
        <v>12.20131091501554</v>
      </c>
      <c r="R518" s="96"/>
      <c r="Y518" s="88"/>
      <c r="Z518" s="88"/>
      <c r="AA518" s="88"/>
    </row>
    <row r="519" spans="14:27" x14ac:dyDescent="0.3">
      <c r="N519" s="104">
        <v>0</v>
      </c>
      <c r="O519" s="104">
        <f t="shared" ref="O519:O582" si="9">P519/12</f>
        <v>92.275807874646219</v>
      </c>
      <c r="P519" s="104">
        <v>1107.3096944957547</v>
      </c>
      <c r="Q519" s="104">
        <v>12.731053384425394</v>
      </c>
      <c r="R519" s="96"/>
      <c r="Y519" s="88"/>
      <c r="Z519" s="88"/>
      <c r="AA519" s="88"/>
    </row>
    <row r="520" spans="14:27" x14ac:dyDescent="0.3">
      <c r="N520" s="104">
        <v>0</v>
      </c>
      <c r="O520" s="104">
        <f t="shared" si="9"/>
        <v>92.27596787964643</v>
      </c>
      <c r="P520" s="104">
        <v>1107.3116145557572</v>
      </c>
      <c r="Q520" s="104">
        <v>12.731154748505674</v>
      </c>
      <c r="R520" s="96"/>
      <c r="Y520" s="88"/>
      <c r="Z520" s="88"/>
      <c r="AA520" s="88"/>
    </row>
    <row r="521" spans="14:27" x14ac:dyDescent="0.3">
      <c r="N521" s="104">
        <v>0</v>
      </c>
      <c r="O521" s="104">
        <f t="shared" si="9"/>
        <v>92.276287889646838</v>
      </c>
      <c r="P521" s="104">
        <v>1107.3154546757621</v>
      </c>
      <c r="Q521" s="104">
        <v>12.73135747985711</v>
      </c>
      <c r="R521" s="96"/>
      <c r="Y521" s="88"/>
      <c r="Z521" s="88"/>
      <c r="AA521" s="88"/>
    </row>
    <row r="522" spans="14:27" x14ac:dyDescent="0.3">
      <c r="N522" s="104">
        <v>0</v>
      </c>
      <c r="O522" s="104">
        <f t="shared" si="9"/>
        <v>92.276447894647049</v>
      </c>
      <c r="P522" s="104">
        <v>1107.3173747357646</v>
      </c>
      <c r="Q522" s="104">
        <v>12.731458847164703</v>
      </c>
      <c r="R522" s="96"/>
      <c r="Y522" s="88"/>
      <c r="Z522" s="88"/>
      <c r="AA522" s="88"/>
    </row>
    <row r="523" spans="14:27" x14ac:dyDescent="0.3">
      <c r="N523" s="104">
        <v>0</v>
      </c>
      <c r="O523" s="104">
        <f t="shared" si="9"/>
        <v>92.864163118263775</v>
      </c>
      <c r="P523" s="104">
        <v>1114.3699574191653</v>
      </c>
      <c r="Q523" s="104">
        <v>13.111306902045129</v>
      </c>
      <c r="R523" s="96"/>
      <c r="Y523" s="88"/>
      <c r="Z523" s="88"/>
      <c r="AA523" s="88"/>
    </row>
    <row r="524" spans="14:27" x14ac:dyDescent="0.3">
      <c r="N524" s="104">
        <v>0</v>
      </c>
      <c r="O524" s="104">
        <f t="shared" si="9"/>
        <v>92.864323123263986</v>
      </c>
      <c r="P524" s="104">
        <v>1114.3718774791678</v>
      </c>
      <c r="Q524" s="104">
        <v>13.111412385034981</v>
      </c>
      <c r="R524" s="96"/>
      <c r="Y524" s="88"/>
      <c r="Z524" s="88"/>
      <c r="AA524" s="88"/>
    </row>
    <row r="525" spans="14:27" x14ac:dyDescent="0.3">
      <c r="N525" s="104">
        <v>0</v>
      </c>
      <c r="O525" s="104">
        <f t="shared" si="9"/>
        <v>92.864643133264394</v>
      </c>
      <c r="P525" s="104">
        <v>1114.3757175991727</v>
      </c>
      <c r="Q525" s="104">
        <v>13.111623354148634</v>
      </c>
      <c r="R525" s="96"/>
      <c r="Y525" s="88"/>
      <c r="Z525" s="88"/>
      <c r="AA525" s="88"/>
    </row>
    <row r="526" spans="14:27" x14ac:dyDescent="0.3">
      <c r="N526" s="104">
        <v>0</v>
      </c>
      <c r="O526" s="104">
        <f t="shared" si="9"/>
        <v>92.864803138264605</v>
      </c>
      <c r="P526" s="104">
        <v>1114.3776376591752</v>
      </c>
      <c r="Q526" s="104">
        <v>13.111728840704444</v>
      </c>
      <c r="R526" s="96"/>
      <c r="Y526" s="88"/>
      <c r="Z526" s="88"/>
      <c r="AA526" s="88"/>
    </row>
    <row r="527" spans="14:27" x14ac:dyDescent="0.3">
      <c r="N527" s="104">
        <v>0</v>
      </c>
      <c r="O527" s="104">
        <f t="shared" si="9"/>
        <v>93.164396993662251</v>
      </c>
      <c r="P527" s="104">
        <v>1117.972763923947</v>
      </c>
      <c r="Q527" s="104">
        <v>13.311251662888083</v>
      </c>
      <c r="R527" s="96"/>
      <c r="Y527" s="88"/>
      <c r="Z527" s="88"/>
      <c r="AA527" s="88"/>
    </row>
    <row r="528" spans="14:27" x14ac:dyDescent="0.3">
      <c r="N528" s="104">
        <v>0</v>
      </c>
      <c r="O528" s="104">
        <f t="shared" si="9"/>
        <v>93.164556998662462</v>
      </c>
      <c r="P528" s="104">
        <v>1117.9746839839495</v>
      </c>
      <c r="Q528" s="104">
        <v>13.311359302209553</v>
      </c>
      <c r="R528" s="96"/>
      <c r="Y528" s="88"/>
      <c r="Z528" s="88"/>
      <c r="AA528" s="88"/>
    </row>
    <row r="529" spans="14:27" x14ac:dyDescent="0.3">
      <c r="N529" s="104">
        <v>0</v>
      </c>
      <c r="O529" s="104">
        <f t="shared" si="9"/>
        <v>93.16487700866287</v>
      </c>
      <c r="P529" s="104">
        <v>1117.9785241039544</v>
      </c>
      <c r="Q529" s="104">
        <v>13.311574584534696</v>
      </c>
      <c r="R529" s="96"/>
      <c r="Y529" s="88"/>
      <c r="Z529" s="88"/>
      <c r="AA529" s="88"/>
    </row>
    <row r="530" spans="14:27" x14ac:dyDescent="0.3">
      <c r="N530" s="104">
        <v>0</v>
      </c>
      <c r="O530" s="104">
        <f t="shared" si="9"/>
        <v>93.165037013663081</v>
      </c>
      <c r="P530" s="104">
        <v>1117.9804441639569</v>
      </c>
      <c r="Q530" s="104">
        <v>13.311682227279505</v>
      </c>
      <c r="R530" s="96"/>
      <c r="Y530" s="88"/>
      <c r="Z530" s="88"/>
      <c r="AA530" s="88"/>
    </row>
    <row r="531" spans="14:27" x14ac:dyDescent="0.3">
      <c r="N531" s="104">
        <v>0</v>
      </c>
      <c r="O531" s="104">
        <f t="shared" si="9"/>
        <v>93.752752237279807</v>
      </c>
      <c r="P531" s="104">
        <v>1125.0330268473576</v>
      </c>
      <c r="Q531" s="104">
        <v>13.71497365682967</v>
      </c>
      <c r="R531" s="96"/>
      <c r="Y531" s="88"/>
      <c r="Z531" s="88"/>
      <c r="AA531" s="88"/>
    </row>
    <row r="532" spans="14:27" x14ac:dyDescent="0.3">
      <c r="N532" s="104">
        <v>0</v>
      </c>
      <c r="O532" s="104">
        <f t="shared" si="9"/>
        <v>93.752912242280004</v>
      </c>
      <c r="P532" s="104">
        <v>1125.0349469073601</v>
      </c>
      <c r="Q532" s="104">
        <v>13.715085629245266</v>
      </c>
      <c r="R532" s="96"/>
      <c r="Y532" s="88"/>
      <c r="Z532" s="88"/>
      <c r="AA532" s="88"/>
    </row>
    <row r="533" spans="14:27" x14ac:dyDescent="0.3">
      <c r="N533" s="104">
        <v>0</v>
      </c>
      <c r="O533" s="104">
        <f t="shared" si="9"/>
        <v>93.753232252280426</v>
      </c>
      <c r="P533" s="104">
        <v>1125.0387870273651</v>
      </c>
      <c r="Q533" s="104">
        <v>13.71530957743704</v>
      </c>
      <c r="R533" s="96"/>
      <c r="Y533" s="88"/>
      <c r="Z533" s="88"/>
      <c r="AA533" s="88"/>
    </row>
    <row r="534" spans="14:27" x14ac:dyDescent="0.3">
      <c r="N534" s="104">
        <v>0</v>
      </c>
      <c r="O534" s="104">
        <f t="shared" si="9"/>
        <v>93.753392257280623</v>
      </c>
      <c r="P534" s="104">
        <v>1125.0407070873675</v>
      </c>
      <c r="Q534" s="104">
        <v>13.715421553307749</v>
      </c>
      <c r="R534" s="96"/>
      <c r="Y534" s="88"/>
      <c r="Z534" s="88"/>
      <c r="AA534" s="88"/>
    </row>
    <row r="535" spans="14:27" x14ac:dyDescent="0.3">
      <c r="N535" s="104">
        <v>0</v>
      </c>
      <c r="O535" s="104">
        <f t="shared" si="9"/>
        <v>94.614330058024379</v>
      </c>
      <c r="P535" s="104">
        <v>1135.3719606962925</v>
      </c>
      <c r="Q535" s="104">
        <v>14.335542590162731</v>
      </c>
      <c r="R535" s="96"/>
      <c r="Y535" s="88"/>
      <c r="Z535" s="88"/>
      <c r="AA535" s="88"/>
    </row>
    <row r="536" spans="14:27" x14ac:dyDescent="0.3">
      <c r="N536" s="104">
        <v>0</v>
      </c>
      <c r="O536" s="104">
        <f t="shared" si="9"/>
        <v>94.614490063024576</v>
      </c>
      <c r="P536" s="104">
        <v>1135.373880756295</v>
      </c>
      <c r="Q536" s="104">
        <v>14.335661163472196</v>
      </c>
      <c r="R536" s="96"/>
      <c r="Y536" s="88"/>
      <c r="Z536" s="88"/>
      <c r="AA536" s="88"/>
    </row>
    <row r="537" spans="14:27" x14ac:dyDescent="0.3">
      <c r="N537" s="104">
        <v>0</v>
      </c>
      <c r="O537" s="104">
        <f t="shared" si="9"/>
        <v>94.614810073024998</v>
      </c>
      <c r="P537" s="104">
        <v>1135.3777208762999</v>
      </c>
      <c r="Q537" s="104">
        <v>14.33589831356619</v>
      </c>
      <c r="R537" s="96"/>
      <c r="Y537" s="88"/>
      <c r="Z537" s="88"/>
      <c r="AA537" s="88"/>
    </row>
    <row r="538" spans="14:27" x14ac:dyDescent="0.3">
      <c r="N538" s="104">
        <v>0</v>
      </c>
      <c r="O538" s="104">
        <f t="shared" si="9"/>
        <v>94.614970078025195</v>
      </c>
      <c r="P538" s="104">
        <v>1135.3796409363024</v>
      </c>
      <c r="Q538" s="104">
        <v>14.336016890775795</v>
      </c>
      <c r="R538" s="96"/>
      <c r="Y538" s="88"/>
      <c r="Z538" s="88"/>
      <c r="AA538" s="88"/>
    </row>
    <row r="539" spans="14:27" x14ac:dyDescent="0.3">
      <c r="N539" s="104">
        <v>0</v>
      </c>
      <c r="O539" s="104">
        <f t="shared" si="9"/>
        <v>95.47590787876895</v>
      </c>
      <c r="P539" s="104">
        <v>1145.7108945452273</v>
      </c>
      <c r="Q539" s="104">
        <v>14.992474193405599</v>
      </c>
      <c r="R539" s="96"/>
      <c r="Y539" s="88"/>
      <c r="Z539" s="88"/>
      <c r="AA539" s="88"/>
    </row>
    <row r="540" spans="14:27" x14ac:dyDescent="0.3">
      <c r="N540" s="104">
        <v>0</v>
      </c>
      <c r="O540" s="104">
        <f t="shared" si="9"/>
        <v>95.476067883769147</v>
      </c>
      <c r="P540" s="104">
        <v>1145.7128146052298</v>
      </c>
      <c r="Q540" s="104">
        <v>14.992599671668188</v>
      </c>
      <c r="R540" s="96"/>
      <c r="Y540" s="88"/>
      <c r="Z540" s="88"/>
      <c r="AA540" s="88"/>
    </row>
    <row r="541" spans="14:27" x14ac:dyDescent="0.3">
      <c r="N541" s="104">
        <v>0</v>
      </c>
      <c r="O541" s="104">
        <f t="shared" si="9"/>
        <v>95.476387893769569</v>
      </c>
      <c r="P541" s="104">
        <v>1145.7166547252348</v>
      </c>
      <c r="Q541" s="104">
        <v>14.992850632284615</v>
      </c>
      <c r="R541" s="96"/>
      <c r="Y541" s="88"/>
      <c r="Z541" s="88"/>
      <c r="AA541" s="88"/>
    </row>
    <row r="542" spans="14:27" x14ac:dyDescent="0.3">
      <c r="N542" s="104">
        <v>0</v>
      </c>
      <c r="O542" s="104">
        <f t="shared" si="9"/>
        <v>95.476547898769766</v>
      </c>
      <c r="P542" s="104">
        <v>1145.7185747852373</v>
      </c>
      <c r="Q542" s="104">
        <v>14.992976114425005</v>
      </c>
      <c r="R542" s="96"/>
      <c r="Y542" s="88"/>
      <c r="Z542" s="88"/>
      <c r="AA542" s="88"/>
    </row>
    <row r="543" spans="14:27" x14ac:dyDescent="0.3">
      <c r="N543" s="104">
        <v>0</v>
      </c>
      <c r="O543" s="104">
        <f t="shared" si="9"/>
        <v>96.064263122386492</v>
      </c>
      <c r="P543" s="104">
        <v>1152.771157468638</v>
      </c>
      <c r="Q543" s="104">
        <v>15.462815830427473</v>
      </c>
      <c r="R543" s="96"/>
      <c r="Y543" s="88"/>
      <c r="Z543" s="88"/>
      <c r="AA543" s="88"/>
    </row>
    <row r="544" spans="14:27" x14ac:dyDescent="0.3">
      <c r="N544" s="104">
        <v>0</v>
      </c>
      <c r="O544" s="104">
        <f t="shared" si="9"/>
        <v>96.064423127386704</v>
      </c>
      <c r="P544" s="104">
        <v>1152.7730775286404</v>
      </c>
      <c r="Q544" s="104">
        <v>15.462946198782163</v>
      </c>
      <c r="R544" s="96"/>
      <c r="Y544" s="88"/>
      <c r="Z544" s="88"/>
      <c r="AA544" s="88"/>
    </row>
    <row r="545" spans="14:27" x14ac:dyDescent="0.3">
      <c r="N545" s="104">
        <v>0</v>
      </c>
      <c r="O545" s="104">
        <f t="shared" si="9"/>
        <v>96.064743137387111</v>
      </c>
      <c r="P545" s="104">
        <v>1152.7769176486454</v>
      </c>
      <c r="Q545" s="104">
        <v>15.463206939409133</v>
      </c>
      <c r="R545" s="96"/>
      <c r="Y545" s="88"/>
      <c r="Z545" s="88"/>
      <c r="AA545" s="88"/>
    </row>
    <row r="546" spans="14:27" x14ac:dyDescent="0.3">
      <c r="N546" s="104">
        <v>0</v>
      </c>
      <c r="O546" s="104">
        <f t="shared" si="9"/>
        <v>96.064903142387323</v>
      </c>
      <c r="P546" s="104">
        <v>1152.7788377086479</v>
      </c>
      <c r="Q546" s="104">
        <v>15.463337311816019</v>
      </c>
      <c r="R546" s="96"/>
      <c r="Y546" s="88"/>
      <c r="Z546" s="88"/>
      <c r="AA546" s="88"/>
    </row>
    <row r="547" spans="14:27" x14ac:dyDescent="0.3">
      <c r="N547" s="104">
        <v>0</v>
      </c>
      <c r="O547" s="104">
        <f t="shared" si="9"/>
        <v>96.364496997784968</v>
      </c>
      <c r="P547" s="104">
        <v>1156.3739639734197</v>
      </c>
      <c r="Q547" s="104">
        <v>15.709824712792113</v>
      </c>
      <c r="R547" s="96"/>
      <c r="Y547" s="88"/>
      <c r="Z547" s="88"/>
      <c r="AA547" s="88"/>
    </row>
    <row r="548" spans="14:27" x14ac:dyDescent="0.3">
      <c r="N548" s="104">
        <v>0</v>
      </c>
      <c r="O548" s="104">
        <f t="shared" si="9"/>
        <v>96.364657002785179</v>
      </c>
      <c r="P548" s="104">
        <v>1156.3758840334222</v>
      </c>
      <c r="Q548" s="104">
        <v>15.709957631047871</v>
      </c>
      <c r="R548" s="96"/>
      <c r="Y548" s="88"/>
      <c r="Z548" s="88"/>
      <c r="AA548" s="88"/>
    </row>
    <row r="549" spans="14:27" x14ac:dyDescent="0.3">
      <c r="N549" s="104">
        <v>0</v>
      </c>
      <c r="O549" s="104">
        <f t="shared" si="9"/>
        <v>96.364977012785587</v>
      </c>
      <c r="P549" s="104">
        <v>1156.3797241534271</v>
      </c>
      <c r="Q549" s="104">
        <v>15.710223471810934</v>
      </c>
      <c r="R549" s="96"/>
      <c r="Y549" s="88"/>
      <c r="Z549" s="88"/>
      <c r="AA549" s="88"/>
    </row>
    <row r="550" spans="14:27" x14ac:dyDescent="0.3">
      <c r="N550" s="104">
        <v>0</v>
      </c>
      <c r="O550" s="104">
        <f t="shared" si="9"/>
        <v>96.365137017785798</v>
      </c>
      <c r="P550" s="104">
        <v>1156.3816442134296</v>
      </c>
      <c r="Q550" s="104">
        <v>15.710356394260316</v>
      </c>
      <c r="R550" s="96"/>
      <c r="Y550" s="88"/>
      <c r="Z550" s="88"/>
      <c r="AA550" s="88"/>
    </row>
    <row r="551" spans="14:27" x14ac:dyDescent="0.3">
      <c r="N551" s="104">
        <v>0</v>
      </c>
      <c r="O551" s="104">
        <f t="shared" si="9"/>
        <v>96.952852241402525</v>
      </c>
      <c r="P551" s="104">
        <v>1163.4342268968303</v>
      </c>
      <c r="Q551" s="104">
        <v>16.207917600414589</v>
      </c>
      <c r="R551" s="96"/>
      <c r="Y551" s="88"/>
      <c r="Z551" s="88"/>
      <c r="AA551" s="88"/>
    </row>
    <row r="552" spans="14:27" x14ac:dyDescent="0.3">
      <c r="N552" s="104">
        <v>0</v>
      </c>
      <c r="O552" s="104">
        <f t="shared" si="9"/>
        <v>96.953012246402736</v>
      </c>
      <c r="P552" s="104">
        <v>1163.4361469568328</v>
      </c>
      <c r="Q552" s="104">
        <v>16.208055622869836</v>
      </c>
      <c r="R552" s="96"/>
      <c r="Y552" s="88"/>
      <c r="Z552" s="88"/>
      <c r="AA552" s="88"/>
    </row>
    <row r="553" spans="14:27" x14ac:dyDescent="0.3">
      <c r="N553" s="104">
        <v>0</v>
      </c>
      <c r="O553" s="104">
        <f t="shared" si="9"/>
        <v>96.953332256403144</v>
      </c>
      <c r="P553" s="104">
        <v>1163.4399870768377</v>
      </c>
      <c r="Q553" s="104">
        <v>16.20833167206672</v>
      </c>
      <c r="R553" s="96"/>
      <c r="Y553" s="88"/>
      <c r="Z553" s="88"/>
      <c r="AA553" s="88"/>
    </row>
    <row r="554" spans="14:27" x14ac:dyDescent="0.3">
      <c r="N554" s="104">
        <v>0</v>
      </c>
      <c r="O554" s="104">
        <f t="shared" si="9"/>
        <v>96.953492261403355</v>
      </c>
      <c r="P554" s="104">
        <v>1163.4419071368402</v>
      </c>
      <c r="Q554" s="104">
        <v>16.208469699011403</v>
      </c>
      <c r="R554" s="96"/>
      <c r="Y554" s="88"/>
      <c r="Z554" s="88"/>
      <c r="AA554" s="88"/>
    </row>
    <row r="555" spans="14:27" x14ac:dyDescent="0.3">
      <c r="N555" s="104">
        <v>0</v>
      </c>
      <c r="O555" s="104">
        <f t="shared" si="9"/>
        <v>97.814430062147096</v>
      </c>
      <c r="P555" s="104">
        <v>1173.7731607457652</v>
      </c>
      <c r="Q555" s="104">
        <v>16.971798499389763</v>
      </c>
      <c r="R555" s="96"/>
      <c r="Y555" s="88"/>
      <c r="Z555" s="88"/>
      <c r="AA555" s="88"/>
    </row>
    <row r="556" spans="14:27" x14ac:dyDescent="0.3">
      <c r="N556" s="104">
        <v>0</v>
      </c>
      <c r="O556" s="104">
        <f t="shared" si="9"/>
        <v>97.814590067147307</v>
      </c>
      <c r="P556" s="104">
        <v>1173.7750808057676</v>
      </c>
      <c r="Q556" s="104">
        <v>16.971944252311857</v>
      </c>
      <c r="R556" s="96"/>
      <c r="Y556" s="88"/>
      <c r="Z556" s="88"/>
      <c r="AA556" s="88"/>
    </row>
    <row r="557" spans="14:27" x14ac:dyDescent="0.3">
      <c r="N557" s="104">
        <v>0</v>
      </c>
      <c r="O557" s="104">
        <f t="shared" si="9"/>
        <v>97.814910077147715</v>
      </c>
      <c r="P557" s="104">
        <v>1173.7789209257726</v>
      </c>
      <c r="Q557" s="104">
        <v>16.972235762007131</v>
      </c>
      <c r="R557" s="96"/>
      <c r="Y557" s="88"/>
      <c r="Z557" s="88"/>
      <c r="AA557" s="88"/>
    </row>
    <row r="558" spans="14:27" x14ac:dyDescent="0.3">
      <c r="N558" s="104">
        <v>0</v>
      </c>
      <c r="O558" s="104">
        <f t="shared" si="9"/>
        <v>97.815070082147926</v>
      </c>
      <c r="P558" s="104">
        <v>1173.7808409857751</v>
      </c>
      <c r="Q558" s="104">
        <v>16.972381519386886</v>
      </c>
      <c r="R558" s="96"/>
      <c r="Y558" s="88"/>
      <c r="Z558" s="88"/>
      <c r="AA558" s="88"/>
    </row>
    <row r="559" spans="14:27" x14ac:dyDescent="0.3">
      <c r="N559" s="104">
        <v>0</v>
      </c>
      <c r="O559" s="104">
        <f t="shared" si="9"/>
        <v>98.676007882891668</v>
      </c>
      <c r="P559" s="104">
        <v>1184.1120945947</v>
      </c>
      <c r="Q559" s="104">
        <v>17.778123013326933</v>
      </c>
      <c r="R559" s="96"/>
      <c r="Y559" s="88"/>
      <c r="Z559" s="88"/>
      <c r="AA559" s="88"/>
    </row>
    <row r="560" spans="14:27" x14ac:dyDescent="0.3">
      <c r="N560" s="104">
        <v>0</v>
      </c>
      <c r="O560" s="104">
        <f t="shared" si="9"/>
        <v>98.676167887891879</v>
      </c>
      <c r="P560" s="104">
        <v>1184.1140146547025</v>
      </c>
      <c r="Q560" s="104">
        <v>17.778276800438562</v>
      </c>
      <c r="R560" s="96"/>
      <c r="Y560" s="88"/>
      <c r="Z560" s="88"/>
      <c r="AA560" s="88"/>
    </row>
    <row r="561" spans="14:27" x14ac:dyDescent="0.3">
      <c r="N561" s="104">
        <v>0</v>
      </c>
      <c r="O561" s="104">
        <f t="shared" si="9"/>
        <v>98.676487897892287</v>
      </c>
      <c r="P561" s="104">
        <v>1184.1178547747074</v>
      </c>
      <c r="Q561" s="104">
        <v>17.778584378990786</v>
      </c>
      <c r="R561" s="96"/>
      <c r="Y561" s="88"/>
      <c r="Z561" s="88"/>
      <c r="AA561" s="88"/>
    </row>
    <row r="562" spans="14:27" x14ac:dyDescent="0.3">
      <c r="N562" s="104">
        <v>0</v>
      </c>
      <c r="O562" s="104">
        <f t="shared" si="9"/>
        <v>98.676647902892498</v>
      </c>
      <c r="P562" s="104">
        <v>1184.1197748347099</v>
      </c>
      <c r="Q562" s="104">
        <v>17.778738170722534</v>
      </c>
      <c r="R562" s="96"/>
      <c r="Y562" s="88"/>
      <c r="Z562" s="88"/>
      <c r="AA562" s="88"/>
    </row>
    <row r="563" spans="14:27" x14ac:dyDescent="0.3">
      <c r="N563" s="104">
        <v>0</v>
      </c>
      <c r="O563" s="104">
        <f t="shared" si="9"/>
        <v>99.264363126509224</v>
      </c>
      <c r="P563" s="104">
        <v>1191.1723575181106</v>
      </c>
      <c r="Q563" s="104">
        <v>18.353976375550872</v>
      </c>
      <c r="R563" s="96"/>
      <c r="Y563" s="88"/>
      <c r="Z563" s="88"/>
      <c r="AA563" s="88"/>
    </row>
    <row r="564" spans="14:27" x14ac:dyDescent="0.3">
      <c r="N564" s="104">
        <v>0</v>
      </c>
      <c r="O564" s="104">
        <f t="shared" si="9"/>
        <v>99.264523131509421</v>
      </c>
      <c r="P564" s="104">
        <v>1191.1742775781131</v>
      </c>
      <c r="Q564" s="104">
        <v>18.354135823875595</v>
      </c>
      <c r="R564" s="96"/>
      <c r="Y564" s="88"/>
      <c r="Z564" s="88"/>
      <c r="AA564" s="88"/>
    </row>
    <row r="565" spans="14:27" x14ac:dyDescent="0.3">
      <c r="N565" s="104">
        <v>0</v>
      </c>
      <c r="O565" s="104">
        <f t="shared" si="9"/>
        <v>99.264843141509843</v>
      </c>
      <c r="P565" s="104">
        <v>1191.1781176981181</v>
      </c>
      <c r="Q565" s="104">
        <v>18.354454725084281</v>
      </c>
      <c r="R565" s="96"/>
      <c r="Y565" s="88"/>
      <c r="Z565" s="88"/>
      <c r="AA565" s="88"/>
    </row>
    <row r="566" spans="14:27" x14ac:dyDescent="0.3">
      <c r="N566" s="104">
        <v>0</v>
      </c>
      <c r="O566" s="104">
        <f t="shared" si="9"/>
        <v>99.26500314651004</v>
      </c>
      <c r="P566" s="104">
        <v>1191.1800377581205</v>
      </c>
      <c r="Q566" s="104">
        <v>18.354614178047427</v>
      </c>
      <c r="R566" s="96"/>
      <c r="Y566" s="88"/>
      <c r="Z566" s="88"/>
      <c r="AA566" s="88"/>
    </row>
    <row r="567" spans="14:27" x14ac:dyDescent="0.3">
      <c r="N567" s="104">
        <v>0</v>
      </c>
      <c r="O567" s="104">
        <f t="shared" si="9"/>
        <v>99.5645970019077</v>
      </c>
      <c r="P567" s="104">
        <v>1194.7751640228923</v>
      </c>
      <c r="Q567" s="104">
        <v>18.655919932808047</v>
      </c>
      <c r="R567" s="96"/>
      <c r="Y567" s="88"/>
      <c r="Z567" s="88"/>
      <c r="AA567" s="88"/>
    </row>
    <row r="568" spans="14:27" x14ac:dyDescent="0.3">
      <c r="N568" s="104">
        <v>0</v>
      </c>
      <c r="O568" s="104">
        <f t="shared" si="9"/>
        <v>99.564757006907897</v>
      </c>
      <c r="P568" s="104">
        <v>1194.7770840828948</v>
      </c>
      <c r="Q568" s="104">
        <v>18.65608232463228</v>
      </c>
      <c r="R568" s="96"/>
      <c r="Y568" s="88"/>
      <c r="Z568" s="88"/>
      <c r="AA568" s="88"/>
    </row>
    <row r="569" spans="14:27" x14ac:dyDescent="0.3">
      <c r="N569" s="104">
        <v>0</v>
      </c>
      <c r="O569" s="104">
        <f t="shared" si="9"/>
        <v>99.565077016908319</v>
      </c>
      <c r="P569" s="104">
        <v>1194.7809242028998</v>
      </c>
      <c r="Q569" s="104">
        <v>18.656407113013074</v>
      </c>
      <c r="R569" s="96"/>
      <c r="Y569" s="88"/>
      <c r="Z569" s="88"/>
      <c r="AA569" s="88"/>
    </row>
    <row r="570" spans="14:27" x14ac:dyDescent="0.3">
      <c r="N570" s="104">
        <v>0</v>
      </c>
      <c r="O570" s="104">
        <f t="shared" si="9"/>
        <v>99.565237021908516</v>
      </c>
      <c r="P570" s="104">
        <v>1194.7828442629022</v>
      </c>
      <c r="Q570" s="104">
        <v>18.656569509500059</v>
      </c>
      <c r="R570" s="96"/>
      <c r="Y570" s="88"/>
      <c r="Z570" s="88"/>
      <c r="AA570" s="88"/>
    </row>
    <row r="571" spans="14:27" x14ac:dyDescent="0.3">
      <c r="N571" s="104">
        <v>0</v>
      </c>
      <c r="O571" s="104">
        <f t="shared" si="9"/>
        <v>100.15295224552524</v>
      </c>
      <c r="P571" s="104">
        <v>1201.835426946303</v>
      </c>
      <c r="Q571" s="104">
        <v>19.263807267966683</v>
      </c>
      <c r="R571" s="96"/>
      <c r="Y571" s="88"/>
      <c r="Z571" s="88"/>
      <c r="AA571" s="88"/>
    </row>
    <row r="572" spans="14:27" x14ac:dyDescent="0.3">
      <c r="N572" s="104">
        <v>0</v>
      </c>
      <c r="O572" s="104">
        <f t="shared" si="9"/>
        <v>100.15311225052545</v>
      </c>
      <c r="P572" s="104">
        <v>1201.8373470063054</v>
      </c>
      <c r="Q572" s="104">
        <v>19.263975535204167</v>
      </c>
      <c r="R572" s="96"/>
      <c r="Y572" s="88"/>
      <c r="Z572" s="88"/>
      <c r="AA572" s="88"/>
    </row>
    <row r="573" spans="14:27" x14ac:dyDescent="0.3">
      <c r="N573" s="104">
        <v>0</v>
      </c>
      <c r="O573" s="104">
        <f t="shared" si="9"/>
        <v>100.15343226052586</v>
      </c>
      <c r="P573" s="104">
        <v>1201.8411871263104</v>
      </c>
      <c r="Q573" s="104">
        <v>19.264312074423401</v>
      </c>
      <c r="R573" s="96"/>
      <c r="Y573" s="88"/>
      <c r="Z573" s="88"/>
      <c r="AA573" s="88"/>
    </row>
    <row r="574" spans="14:27" x14ac:dyDescent="0.3">
      <c r="N574" s="104">
        <v>0</v>
      </c>
      <c r="O574" s="104">
        <f t="shared" si="9"/>
        <v>100.15359226552607</v>
      </c>
      <c r="P574" s="104">
        <v>1201.8431071863129</v>
      </c>
      <c r="Q574" s="104">
        <v>19.26448034649917</v>
      </c>
      <c r="R574" s="96"/>
      <c r="Y574" s="88"/>
      <c r="Z574" s="88"/>
      <c r="AA574" s="88"/>
    </row>
    <row r="575" spans="14:27" x14ac:dyDescent="0.3">
      <c r="N575" s="104">
        <v>0</v>
      </c>
      <c r="O575" s="104">
        <f t="shared" si="9"/>
        <v>101.01453006626981</v>
      </c>
      <c r="P575" s="104">
        <v>1212.1743607952378</v>
      </c>
      <c r="Q575" s="104">
        <v>20.193586068967363</v>
      </c>
      <c r="R575" s="96"/>
      <c r="Y575" s="88"/>
      <c r="Z575" s="88"/>
      <c r="AA575" s="88"/>
    </row>
    <row r="576" spans="14:27" x14ac:dyDescent="0.3">
      <c r="N576" s="104">
        <v>0</v>
      </c>
      <c r="O576" s="104">
        <f t="shared" si="9"/>
        <v>101.01469007127002</v>
      </c>
      <c r="P576" s="104">
        <v>1212.1762808552403</v>
      </c>
      <c r="Q576" s="104">
        <v>20.193763195627639</v>
      </c>
      <c r="R576" s="96"/>
      <c r="Y576" s="88"/>
      <c r="Z576" s="88"/>
      <c r="AA576" s="88"/>
    </row>
    <row r="577" spans="14:27" x14ac:dyDescent="0.3">
      <c r="N577" s="104">
        <v>0</v>
      </c>
      <c r="O577" s="104">
        <f t="shared" si="9"/>
        <v>101.01501008127043</v>
      </c>
      <c r="P577" s="104">
        <v>1212.1801209752452</v>
      </c>
      <c r="Q577" s="104">
        <v>20.194117453988042</v>
      </c>
      <c r="R577" s="96"/>
      <c r="Y577" s="88"/>
      <c r="Z577" s="88"/>
      <c r="AA577" s="88"/>
    </row>
    <row r="578" spans="14:27" x14ac:dyDescent="0.3">
      <c r="N578" s="104">
        <v>0</v>
      </c>
      <c r="O578" s="104">
        <f t="shared" si="9"/>
        <v>101.01517008627064</v>
      </c>
      <c r="P578" s="104">
        <v>1212.1820410352477</v>
      </c>
      <c r="Q578" s="104">
        <v>20.194294585566581</v>
      </c>
      <c r="R578" s="96"/>
      <c r="Y578" s="88"/>
      <c r="Z578" s="88"/>
      <c r="AA578" s="88"/>
    </row>
    <row r="579" spans="14:27" x14ac:dyDescent="0.3">
      <c r="N579" s="104">
        <v>0</v>
      </c>
      <c r="O579" s="104">
        <f t="shared" si="9"/>
        <v>101.87610788701438</v>
      </c>
      <c r="P579" s="104">
        <v>1222.5132946441727</v>
      </c>
      <c r="Q579" s="104">
        <v>21.171889350173444</v>
      </c>
      <c r="R579" s="96"/>
      <c r="Y579" s="88"/>
      <c r="Z579" s="88"/>
      <c r="AA579" s="88"/>
    </row>
    <row r="580" spans="14:27" x14ac:dyDescent="0.3">
      <c r="N580" s="104">
        <v>0</v>
      </c>
      <c r="O580" s="104">
        <f t="shared" si="9"/>
        <v>101.8762678920146</v>
      </c>
      <c r="P580" s="104">
        <v>1222.5152147041752</v>
      </c>
      <c r="Q580" s="104">
        <v>21.172075640493404</v>
      </c>
      <c r="R580" s="96"/>
      <c r="Y580" s="88"/>
      <c r="Z580" s="88"/>
      <c r="AA580" s="88"/>
    </row>
    <row r="581" spans="14:27" x14ac:dyDescent="0.3">
      <c r="N581" s="104">
        <v>0</v>
      </c>
      <c r="O581" s="104">
        <f t="shared" si="9"/>
        <v>101.876587902015</v>
      </c>
      <c r="P581" s="104">
        <v>1222.5190548241801</v>
      </c>
      <c r="Q581" s="104">
        <v>21.172448226047379</v>
      </c>
      <c r="R581" s="96"/>
      <c r="Y581" s="88"/>
      <c r="Z581" s="88"/>
      <c r="AA581" s="88"/>
    </row>
    <row r="582" spans="14:27" x14ac:dyDescent="0.3">
      <c r="N582" s="104">
        <v>0</v>
      </c>
      <c r="O582" s="104">
        <f t="shared" si="9"/>
        <v>101.87674790701521</v>
      </c>
      <c r="P582" s="104">
        <v>1222.5209748841826</v>
      </c>
      <c r="Q582" s="104">
        <v>21.172634521384396</v>
      </c>
      <c r="R582" s="96"/>
      <c r="Y582" s="88"/>
      <c r="Z582" s="88"/>
      <c r="AA582" s="88"/>
    </row>
    <row r="583" spans="14:27" x14ac:dyDescent="0.3">
      <c r="N583" s="104">
        <v>0</v>
      </c>
      <c r="O583" s="104">
        <f t="shared" ref="O583:O646" si="10">P583/12</f>
        <v>102.46446313063194</v>
      </c>
      <c r="P583" s="104">
        <v>1229.5735575675833</v>
      </c>
      <c r="Q583" s="104">
        <v>21.868677845652883</v>
      </c>
      <c r="R583" s="96"/>
      <c r="Y583" s="88"/>
      <c r="Z583" s="88"/>
      <c r="AA583" s="88"/>
    </row>
    <row r="584" spans="14:27" x14ac:dyDescent="0.3">
      <c r="N584" s="104">
        <v>0</v>
      </c>
      <c r="O584" s="104">
        <f t="shared" si="10"/>
        <v>102.46462313563215</v>
      </c>
      <c r="P584" s="104">
        <v>1229.5754776275858</v>
      </c>
      <c r="Q584" s="104">
        <v>21.868870568424711</v>
      </c>
      <c r="R584" s="96"/>
      <c r="Y584" s="88"/>
      <c r="Z584" s="88"/>
      <c r="AA584" s="88"/>
    </row>
    <row r="585" spans="14:27" x14ac:dyDescent="0.3">
      <c r="N585" s="104">
        <v>0</v>
      </c>
      <c r="O585" s="104">
        <f t="shared" si="10"/>
        <v>102.46494314563256</v>
      </c>
      <c r="P585" s="104">
        <v>1229.5793177475907</v>
      </c>
      <c r="Q585" s="104">
        <v>21.869256018965359</v>
      </c>
      <c r="R585" s="96"/>
      <c r="Y585" s="88"/>
      <c r="Z585" s="88"/>
      <c r="AA585" s="88"/>
    </row>
    <row r="586" spans="14:27" x14ac:dyDescent="0.3">
      <c r="N586" s="104">
        <v>0</v>
      </c>
      <c r="O586" s="104">
        <f t="shared" si="10"/>
        <v>102.46510315063277</v>
      </c>
      <c r="P586" s="104">
        <v>1229.5812378075932</v>
      </c>
      <c r="Q586" s="104">
        <v>21.869448746774992</v>
      </c>
      <c r="R586" s="96"/>
      <c r="Y586" s="88"/>
      <c r="Z586" s="88"/>
      <c r="AA586" s="88"/>
    </row>
    <row r="587" spans="14:27" x14ac:dyDescent="0.3">
      <c r="N587" s="104">
        <v>0</v>
      </c>
      <c r="O587" s="104">
        <f t="shared" si="10"/>
        <v>102.76469700603042</v>
      </c>
      <c r="P587" s="104">
        <v>1233.176364072365</v>
      </c>
      <c r="Q587" s="104">
        <v>22.233426527768927</v>
      </c>
      <c r="R587" s="96"/>
      <c r="Y587" s="88"/>
      <c r="Z587" s="88"/>
      <c r="AA587" s="88"/>
    </row>
    <row r="588" spans="14:27" x14ac:dyDescent="0.3">
      <c r="N588" s="104">
        <v>0</v>
      </c>
      <c r="O588" s="104">
        <f t="shared" si="10"/>
        <v>102.76485701103063</v>
      </c>
      <c r="P588" s="104">
        <v>1233.1782841323675</v>
      </c>
      <c r="Q588" s="104">
        <v>22.233622587445439</v>
      </c>
      <c r="R588" s="96"/>
      <c r="Y588" s="88"/>
      <c r="Z588" s="88"/>
      <c r="AA588" s="88"/>
    </row>
    <row r="589" spans="14:27" x14ac:dyDescent="0.3">
      <c r="N589" s="104">
        <v>0</v>
      </c>
      <c r="O589" s="104">
        <f t="shared" si="10"/>
        <v>102.76517702103104</v>
      </c>
      <c r="P589" s="104">
        <v>1233.1821242523724</v>
      </c>
      <c r="Q589" s="104">
        <v>22.234014712131284</v>
      </c>
      <c r="R589" s="96"/>
      <c r="Y589" s="88"/>
      <c r="Z589" s="88"/>
      <c r="AA589" s="88"/>
    </row>
    <row r="590" spans="14:27" x14ac:dyDescent="0.3">
      <c r="N590" s="104">
        <v>0</v>
      </c>
      <c r="O590" s="104">
        <f t="shared" si="10"/>
        <v>102.76533702603125</v>
      </c>
      <c r="P590" s="104">
        <v>1233.1840443123749</v>
      </c>
      <c r="Q590" s="104">
        <v>22.234210777067744</v>
      </c>
      <c r="R590" s="96"/>
      <c r="Y590" s="88"/>
      <c r="Z590" s="88"/>
      <c r="AA590" s="88"/>
    </row>
    <row r="591" spans="14:27" x14ac:dyDescent="0.3">
      <c r="N591" s="104">
        <v>0</v>
      </c>
      <c r="O591" s="104">
        <f t="shared" si="10"/>
        <v>103.35305224964797</v>
      </c>
      <c r="P591" s="104">
        <v>1240.2366269957756</v>
      </c>
      <c r="Q591" s="104">
        <v>22.966531658767565</v>
      </c>
      <c r="R591" s="96"/>
      <c r="Y591" s="88"/>
      <c r="Z591" s="88"/>
      <c r="AA591" s="88"/>
    </row>
    <row r="592" spans="14:27" x14ac:dyDescent="0.3">
      <c r="N592" s="104">
        <v>0</v>
      </c>
      <c r="O592" s="104">
        <f t="shared" si="10"/>
        <v>103.35321225464817</v>
      </c>
      <c r="P592" s="104">
        <v>1240.2385470557781</v>
      </c>
      <c r="Q592" s="104">
        <v>22.966734365066714</v>
      </c>
      <c r="R592" s="96"/>
      <c r="Y592" s="88"/>
      <c r="Z592" s="88"/>
      <c r="AA592" s="88"/>
    </row>
    <row r="593" spans="14:27" x14ac:dyDescent="0.3">
      <c r="N593" s="104">
        <v>0</v>
      </c>
      <c r="O593" s="104">
        <f t="shared" si="10"/>
        <v>103.35353226464859</v>
      </c>
      <c r="P593" s="104">
        <v>1240.2423871757831</v>
      </c>
      <c r="Q593" s="104">
        <v>22.96713978276432</v>
      </c>
      <c r="R593" s="96"/>
      <c r="Y593" s="88"/>
      <c r="Z593" s="88"/>
      <c r="AA593" s="88"/>
    </row>
    <row r="594" spans="14:27" x14ac:dyDescent="0.3">
      <c r="N594" s="104">
        <v>0</v>
      </c>
      <c r="O594" s="104">
        <f t="shared" si="10"/>
        <v>103.35369226964879</v>
      </c>
      <c r="P594" s="104">
        <v>1240.2443072357855</v>
      </c>
      <c r="Q594" s="104">
        <v>22.967342494291245</v>
      </c>
      <c r="R594" s="96"/>
      <c r="Y594" s="88"/>
      <c r="Z594" s="88"/>
      <c r="AA594" s="88"/>
    </row>
    <row r="595" spans="14:27" x14ac:dyDescent="0.3">
      <c r="N595" s="104">
        <v>0</v>
      </c>
      <c r="O595" s="104">
        <f t="shared" si="10"/>
        <v>104.21463007039254</v>
      </c>
      <c r="P595" s="104">
        <v>1250.5755608447105</v>
      </c>
      <c r="Q595" s="104">
        <v>24.08479398634023</v>
      </c>
      <c r="R595" s="96"/>
      <c r="Y595" s="88"/>
      <c r="Z595" s="88"/>
      <c r="AA595" s="88"/>
    </row>
    <row r="596" spans="14:27" x14ac:dyDescent="0.3">
      <c r="N596" s="104">
        <v>0</v>
      </c>
      <c r="O596" s="104">
        <f t="shared" si="10"/>
        <v>104.21479007539274</v>
      </c>
      <c r="P596" s="104">
        <v>1250.577480904713</v>
      </c>
      <c r="Q596" s="104">
        <v>24.085006681243556</v>
      </c>
      <c r="R596" s="96"/>
      <c r="Y596" s="88"/>
      <c r="Z596" s="88"/>
      <c r="AA596" s="88"/>
    </row>
    <row r="597" spans="14:27" x14ac:dyDescent="0.3">
      <c r="N597" s="104">
        <v>0</v>
      </c>
      <c r="O597" s="104">
        <f t="shared" si="10"/>
        <v>104.21511008539316</v>
      </c>
      <c r="P597" s="104">
        <v>1250.5813210247179</v>
      </c>
      <c r="Q597" s="104">
        <v>24.085432076937991</v>
      </c>
      <c r="R597" s="96"/>
      <c r="Y597" s="88"/>
      <c r="Z597" s="88"/>
      <c r="AA597" s="88"/>
    </row>
    <row r="598" spans="14:27" x14ac:dyDescent="0.3">
      <c r="N598" s="104">
        <v>0</v>
      </c>
      <c r="O598" s="104">
        <f t="shared" si="10"/>
        <v>104.21527009039336</v>
      </c>
      <c r="P598" s="104">
        <v>1250.5832410847204</v>
      </c>
      <c r="Q598" s="104">
        <v>24.08564477778117</v>
      </c>
      <c r="R598" s="96"/>
      <c r="Y598" s="88"/>
      <c r="Z598" s="88"/>
      <c r="AA598" s="88"/>
    </row>
    <row r="599" spans="14:27" x14ac:dyDescent="0.3">
      <c r="N599" s="104">
        <v>0</v>
      </c>
      <c r="O599" s="104">
        <f t="shared" si="10"/>
        <v>105.07620789113712</v>
      </c>
      <c r="P599" s="104">
        <v>1260.9144946936453</v>
      </c>
      <c r="Q599" s="104">
        <v>25.257661568599076</v>
      </c>
      <c r="R599" s="96"/>
      <c r="Y599" s="88"/>
      <c r="Z599" s="88"/>
      <c r="AA599" s="88"/>
    </row>
    <row r="600" spans="14:27" x14ac:dyDescent="0.3">
      <c r="N600" s="104">
        <v>0</v>
      </c>
      <c r="O600" s="104">
        <f t="shared" si="10"/>
        <v>105.07636789613731</v>
      </c>
      <c r="P600" s="104">
        <v>1260.9164147536478</v>
      </c>
      <c r="Q600" s="104">
        <v>25.257884556655142</v>
      </c>
      <c r="R600" s="96"/>
      <c r="Y600" s="88"/>
      <c r="Z600" s="88"/>
      <c r="AA600" s="88"/>
    </row>
    <row r="601" spans="14:27" x14ac:dyDescent="0.3">
      <c r="N601" s="104">
        <v>0</v>
      </c>
      <c r="O601" s="104">
        <f t="shared" si="10"/>
        <v>105.07668790613774</v>
      </c>
      <c r="P601" s="104">
        <v>1260.9202548736528</v>
      </c>
      <c r="Q601" s="104">
        <v>25.258330538055986</v>
      </c>
      <c r="R601" s="96"/>
      <c r="Y601" s="88"/>
      <c r="Z601" s="88"/>
      <c r="AA601" s="88"/>
    </row>
    <row r="602" spans="14:27" x14ac:dyDescent="0.3">
      <c r="N602" s="104">
        <v>0</v>
      </c>
      <c r="O602" s="104">
        <f t="shared" si="10"/>
        <v>105.07684791113793</v>
      </c>
      <c r="P602" s="104">
        <v>1260.9221749336552</v>
      </c>
      <c r="Q602" s="104">
        <v>25.258553531656105</v>
      </c>
      <c r="R602" s="96"/>
      <c r="Y602" s="88"/>
      <c r="Z602" s="88"/>
      <c r="AA602" s="88"/>
    </row>
    <row r="603" spans="14:27" x14ac:dyDescent="0.3">
      <c r="N603" s="104">
        <v>0</v>
      </c>
      <c r="O603" s="104">
        <f t="shared" si="10"/>
        <v>105.66456313475466</v>
      </c>
      <c r="P603" s="104">
        <v>1267.974757617056</v>
      </c>
      <c r="Q603" s="104">
        <v>26.090808378855172</v>
      </c>
      <c r="R603" s="96"/>
      <c r="Y603" s="88"/>
      <c r="Z603" s="88"/>
      <c r="AA603" s="88"/>
    </row>
    <row r="604" spans="14:27" x14ac:dyDescent="0.3">
      <c r="N604" s="104">
        <v>0</v>
      </c>
      <c r="O604" s="104">
        <f t="shared" si="10"/>
        <v>105.66472313975487</v>
      </c>
      <c r="P604" s="104">
        <v>1267.9766776770584</v>
      </c>
      <c r="Q604" s="104">
        <v>26.091038570293676</v>
      </c>
      <c r="R604" s="96"/>
      <c r="Y604" s="88"/>
      <c r="Z604" s="88"/>
      <c r="AA604" s="88"/>
    </row>
    <row r="605" spans="14:27" x14ac:dyDescent="0.3">
      <c r="N605" s="104">
        <v>0</v>
      </c>
      <c r="O605" s="104">
        <f t="shared" si="10"/>
        <v>105.66504314975528</v>
      </c>
      <c r="P605" s="104">
        <v>1267.9805177970634</v>
      </c>
      <c r="Q605" s="104">
        <v>26.091498958785849</v>
      </c>
      <c r="R605" s="96"/>
      <c r="Y605" s="88"/>
      <c r="Z605" s="88"/>
      <c r="AA605" s="88"/>
    </row>
    <row r="606" spans="14:27" x14ac:dyDescent="0.3">
      <c r="N606" s="104">
        <v>0</v>
      </c>
      <c r="O606" s="104">
        <f t="shared" si="10"/>
        <v>105.66520315475549</v>
      </c>
      <c r="P606" s="104">
        <v>1267.9824378570659</v>
      </c>
      <c r="Q606" s="104">
        <v>26.091729156303586</v>
      </c>
      <c r="R606" s="96"/>
      <c r="Y606" s="88"/>
      <c r="Z606" s="88"/>
      <c r="AA606" s="88"/>
    </row>
    <row r="607" spans="14:27" x14ac:dyDescent="0.3">
      <c r="N607" s="104">
        <v>0</v>
      </c>
      <c r="O607" s="104">
        <f t="shared" si="10"/>
        <v>105.9780863904432</v>
      </c>
      <c r="P607" s="104">
        <v>1271.7370366853183</v>
      </c>
      <c r="Q607" s="104">
        <v>-17.453747909683059</v>
      </c>
      <c r="R607" s="96"/>
      <c r="Y607" s="88"/>
      <c r="Z607" s="88"/>
      <c r="AA607" s="88"/>
    </row>
    <row r="608" spans="14:27" x14ac:dyDescent="0.3">
      <c r="N608" s="104">
        <v>0</v>
      </c>
      <c r="O608" s="104">
        <f t="shared" si="10"/>
        <v>105.97826059044279</v>
      </c>
      <c r="P608" s="104">
        <v>1271.7391270853134</v>
      </c>
      <c r="Q608" s="104">
        <v>-17.453497616223729</v>
      </c>
      <c r="R608" s="96"/>
      <c r="Y608" s="88"/>
      <c r="Z608" s="88"/>
      <c r="AA608" s="88"/>
    </row>
    <row r="609" spans="14:27" x14ac:dyDescent="0.3">
      <c r="N609" s="104">
        <v>0</v>
      </c>
      <c r="O609" s="104">
        <f t="shared" si="10"/>
        <v>105.97860899044196</v>
      </c>
      <c r="P609" s="104">
        <v>1271.7433078853035</v>
      </c>
      <c r="Q609" s="104">
        <v>-17.452997037083314</v>
      </c>
      <c r="R609" s="96"/>
      <c r="Y609" s="88"/>
      <c r="Z609" s="88"/>
      <c r="AA609" s="88"/>
    </row>
    <row r="610" spans="14:27" x14ac:dyDescent="0.3">
      <c r="N610" s="104">
        <v>0</v>
      </c>
      <c r="O610" s="104">
        <f t="shared" si="10"/>
        <v>105.97878319044155</v>
      </c>
      <c r="P610" s="104">
        <v>1271.7453982852985</v>
      </c>
      <c r="Q610" s="104">
        <v>-17.452746751127052</v>
      </c>
      <c r="R610" s="96"/>
      <c r="Y610" s="88"/>
      <c r="Z610" s="88"/>
      <c r="AA610" s="88"/>
    </row>
    <row r="611" spans="14:27" x14ac:dyDescent="0.3">
      <c r="N611" s="104">
        <v>0</v>
      </c>
      <c r="O611" s="104">
        <f t="shared" si="10"/>
        <v>106.61863814234829</v>
      </c>
      <c r="P611" s="104">
        <v>1279.4236577081795</v>
      </c>
      <c r="Q611" s="104">
        <v>-16.550507042348222</v>
      </c>
      <c r="R611" s="96"/>
      <c r="Y611" s="88"/>
      <c r="Z611" s="88"/>
      <c r="AA611" s="88"/>
    </row>
    <row r="612" spans="14:27" x14ac:dyDescent="0.3">
      <c r="N612" s="104">
        <v>0</v>
      </c>
      <c r="O612" s="104">
        <f t="shared" si="10"/>
        <v>106.61881234234788</v>
      </c>
      <c r="P612" s="104">
        <v>1279.4257481081745</v>
      </c>
      <c r="Q612" s="104">
        <v>-16.550266029376161</v>
      </c>
      <c r="R612" s="96"/>
      <c r="Y612" s="88"/>
      <c r="Z612" s="88"/>
      <c r="AA612" s="88"/>
    </row>
    <row r="613" spans="14:27" x14ac:dyDescent="0.3">
      <c r="N613" s="104">
        <v>0</v>
      </c>
      <c r="O613" s="104">
        <f t="shared" si="10"/>
        <v>106.61916074234705</v>
      </c>
      <c r="P613" s="104">
        <v>1279.4299289081646</v>
      </c>
      <c r="Q613" s="104">
        <v>-16.549784011539678</v>
      </c>
      <c r="R613" s="96"/>
      <c r="Y613" s="88"/>
      <c r="Z613" s="88"/>
      <c r="AA613" s="88"/>
    </row>
    <row r="614" spans="14:27" x14ac:dyDescent="0.3">
      <c r="N614" s="104">
        <v>0</v>
      </c>
      <c r="O614" s="104">
        <f t="shared" si="10"/>
        <v>106.61933494234664</v>
      </c>
      <c r="P614" s="104">
        <v>1279.4320193081596</v>
      </c>
      <c r="Q614" s="104">
        <v>-16.549543006465342</v>
      </c>
      <c r="R614" s="96"/>
      <c r="Y614" s="88"/>
      <c r="Z614" s="88"/>
      <c r="AA614" s="88"/>
    </row>
    <row r="615" spans="14:27" x14ac:dyDescent="0.3">
      <c r="N615" s="104">
        <v>0</v>
      </c>
      <c r="O615" s="104">
        <f t="shared" si="10"/>
        <v>107.55665167833244</v>
      </c>
      <c r="P615" s="104">
        <v>1290.6798201399893</v>
      </c>
      <c r="Q615" s="104">
        <v>-15.288598877534376</v>
      </c>
      <c r="R615" s="96"/>
      <c r="Y615" s="88"/>
      <c r="Z615" s="88"/>
      <c r="AA615" s="88"/>
    </row>
    <row r="616" spans="14:27" x14ac:dyDescent="0.3">
      <c r="N616" s="104">
        <v>0</v>
      </c>
      <c r="O616" s="104">
        <f t="shared" si="10"/>
        <v>107.55682587833202</v>
      </c>
      <c r="P616" s="104">
        <v>1290.6819105399843</v>
      </c>
      <c r="Q616" s="104">
        <v>-15.288371125356448</v>
      </c>
      <c r="R616" s="96"/>
      <c r="Y616" s="88"/>
      <c r="Z616" s="88"/>
      <c r="AA616" s="88"/>
    </row>
    <row r="617" spans="14:27" x14ac:dyDescent="0.3">
      <c r="N617" s="104">
        <v>0</v>
      </c>
      <c r="O617" s="104">
        <f t="shared" si="10"/>
        <v>107.5571742783312</v>
      </c>
      <c r="P617" s="104">
        <v>1290.6860913399744</v>
      </c>
      <c r="Q617" s="104">
        <v>-15.287915628169628</v>
      </c>
      <c r="R617" s="96"/>
      <c r="Y617" s="88"/>
      <c r="Z617" s="88"/>
      <c r="AA617" s="88"/>
    </row>
    <row r="618" spans="14:27" x14ac:dyDescent="0.3">
      <c r="N618" s="104">
        <v>0</v>
      </c>
      <c r="O618" s="104">
        <f t="shared" si="10"/>
        <v>107.55734847833078</v>
      </c>
      <c r="P618" s="104">
        <v>1290.6881817399694</v>
      </c>
      <c r="Q618" s="104">
        <v>-15.287687883553531</v>
      </c>
      <c r="R618" s="96"/>
      <c r="Y618" s="88"/>
      <c r="Z618" s="88"/>
      <c r="AA618" s="88"/>
    </row>
    <row r="619" spans="14:27" x14ac:dyDescent="0.3">
      <c r="N619" s="104">
        <v>0</v>
      </c>
      <c r="O619" s="104">
        <f t="shared" si="10"/>
        <v>108.49466521431658</v>
      </c>
      <c r="P619" s="104">
        <v>1301.9359825717991</v>
      </c>
      <c r="Q619" s="104">
        <v>-14.097038236232549</v>
      </c>
      <c r="R619" s="96"/>
      <c r="Y619" s="88"/>
      <c r="Z619" s="88"/>
      <c r="AA619" s="88"/>
    </row>
    <row r="620" spans="14:27" x14ac:dyDescent="0.3">
      <c r="N620" s="104">
        <v>0</v>
      </c>
      <c r="O620" s="104">
        <f t="shared" si="10"/>
        <v>108.49483941431617</v>
      </c>
      <c r="P620" s="104">
        <v>1301.9380729717941</v>
      </c>
      <c r="Q620" s="104">
        <v>-14.096823352320541</v>
      </c>
      <c r="R620" s="96"/>
      <c r="Y620" s="88"/>
      <c r="Z620" s="88"/>
      <c r="AA620" s="88"/>
    </row>
    <row r="621" spans="14:27" x14ac:dyDescent="0.3">
      <c r="N621" s="104">
        <v>0</v>
      </c>
      <c r="O621" s="104">
        <f t="shared" si="10"/>
        <v>108.49518781431534</v>
      </c>
      <c r="P621" s="104">
        <v>1301.9422537717842</v>
      </c>
      <c r="Q621" s="104">
        <v>-14.096393591333694</v>
      </c>
      <c r="R621" s="96"/>
      <c r="Y621" s="88"/>
      <c r="Z621" s="88"/>
      <c r="AA621" s="88"/>
    </row>
    <row r="622" spans="14:27" x14ac:dyDescent="0.3">
      <c r="N622" s="104">
        <v>0</v>
      </c>
      <c r="O622" s="104">
        <f t="shared" si="10"/>
        <v>108.49536201431494</v>
      </c>
      <c r="P622" s="104">
        <v>1301.9443441717792</v>
      </c>
      <c r="Q622" s="104">
        <v>-14.096178714540208</v>
      </c>
      <c r="R622" s="96"/>
      <c r="Y622" s="88"/>
      <c r="Z622" s="88"/>
      <c r="AA622" s="88"/>
    </row>
    <row r="623" spans="14:27" x14ac:dyDescent="0.3">
      <c r="N623" s="104">
        <v>0</v>
      </c>
      <c r="O623" s="104">
        <f t="shared" si="10"/>
        <v>109.13521696622168</v>
      </c>
      <c r="P623" s="104">
        <v>1309.6226035946602</v>
      </c>
      <c r="Q623" s="104">
        <v>-13.322680282579654</v>
      </c>
      <c r="R623" s="96"/>
      <c r="Y623" s="88"/>
      <c r="Z623" s="88"/>
      <c r="AA623" s="88"/>
    </row>
    <row r="624" spans="14:27" x14ac:dyDescent="0.3">
      <c r="N624" s="104">
        <v>0</v>
      </c>
      <c r="O624" s="104">
        <f t="shared" si="10"/>
        <v>109.13539116622127</v>
      </c>
      <c r="P624" s="104">
        <v>1309.6246939946552</v>
      </c>
      <c r="Q624" s="104">
        <v>-13.322473960616321</v>
      </c>
      <c r="R624" s="96"/>
      <c r="Y624" s="88"/>
      <c r="Z624" s="88"/>
      <c r="AA624" s="88"/>
    </row>
    <row r="625" spans="14:27" x14ac:dyDescent="0.3">
      <c r="N625" s="104">
        <v>0</v>
      </c>
      <c r="O625" s="104">
        <f t="shared" si="10"/>
        <v>109.13573956622044</v>
      </c>
      <c r="P625" s="104">
        <v>1309.6288747946453</v>
      </c>
      <c r="Q625" s="104">
        <v>-13.32206132325723</v>
      </c>
      <c r="R625" s="96"/>
      <c r="Y625" s="88"/>
      <c r="Z625" s="88"/>
      <c r="AA625" s="88"/>
    </row>
    <row r="626" spans="14:27" x14ac:dyDescent="0.3">
      <c r="N626" s="104">
        <v>0</v>
      </c>
      <c r="O626" s="104">
        <f t="shared" si="10"/>
        <v>109.13591376622003</v>
      </c>
      <c r="P626" s="104">
        <v>1309.6309651946403</v>
      </c>
      <c r="Q626" s="104">
        <v>-13.32185500817053</v>
      </c>
      <c r="R626" s="96"/>
      <c r="Y626" s="88"/>
      <c r="Z626" s="88"/>
      <c r="AA626" s="88"/>
    </row>
    <row r="627" spans="14:27" x14ac:dyDescent="0.3">
      <c r="N627" s="104">
        <v>0</v>
      </c>
      <c r="O627" s="104">
        <f t="shared" si="10"/>
        <v>109.46208638219775</v>
      </c>
      <c r="P627" s="104">
        <v>1313.545036586373</v>
      </c>
      <c r="Q627" s="104">
        <v>-12.939575117438586</v>
      </c>
      <c r="R627" s="96"/>
      <c r="Y627" s="88"/>
      <c r="Z627" s="88"/>
      <c r="AA627" s="88"/>
    </row>
    <row r="628" spans="14:27" x14ac:dyDescent="0.3">
      <c r="N628" s="104">
        <v>0</v>
      </c>
      <c r="O628" s="104">
        <f t="shared" si="10"/>
        <v>109.46226058219735</v>
      </c>
      <c r="P628" s="104">
        <v>1313.5471269863681</v>
      </c>
      <c r="Q628" s="104">
        <v>-12.939373093653337</v>
      </c>
      <c r="R628" s="96"/>
      <c r="Y628" s="88"/>
      <c r="Z628" s="88"/>
      <c r="AA628" s="88"/>
    </row>
    <row r="629" spans="14:27" x14ac:dyDescent="0.3">
      <c r="N629" s="104">
        <v>0</v>
      </c>
      <c r="O629" s="104">
        <f t="shared" si="10"/>
        <v>109.46260898219651</v>
      </c>
      <c r="P629" s="104">
        <v>1313.5513077863582</v>
      </c>
      <c r="Q629" s="104">
        <v>-12.938969053698422</v>
      </c>
      <c r="R629" s="96"/>
      <c r="Y629" s="88"/>
      <c r="Z629" s="88"/>
      <c r="AA629" s="88"/>
    </row>
    <row r="630" spans="14:27" x14ac:dyDescent="0.3">
      <c r="N630" s="104">
        <v>0</v>
      </c>
      <c r="O630" s="104">
        <f t="shared" si="10"/>
        <v>109.46278318219611</v>
      </c>
      <c r="P630" s="104">
        <v>1313.5533981863532</v>
      </c>
      <c r="Q630" s="104">
        <v>-12.938767037097421</v>
      </c>
      <c r="R630" s="96"/>
      <c r="Y630" s="88"/>
      <c r="Z630" s="88"/>
      <c r="AA630" s="88"/>
    </row>
    <row r="631" spans="14:27" x14ac:dyDescent="0.3">
      <c r="N631" s="104">
        <v>0</v>
      </c>
      <c r="O631" s="104">
        <f t="shared" si="10"/>
        <v>110.10263813410285</v>
      </c>
      <c r="P631" s="104">
        <v>1321.2316576092342</v>
      </c>
      <c r="Q631" s="104">
        <v>-12.211998958052177</v>
      </c>
      <c r="R631" s="96"/>
      <c r="Y631" s="88"/>
      <c r="Z631" s="88"/>
      <c r="AA631" s="88"/>
    </row>
    <row r="632" spans="14:27" x14ac:dyDescent="0.3">
      <c r="N632" s="104">
        <v>0</v>
      </c>
      <c r="O632" s="104">
        <f t="shared" si="10"/>
        <v>110.10281233410244</v>
      </c>
      <c r="P632" s="104">
        <v>1321.2337480092292</v>
      </c>
      <c r="Q632" s="104">
        <v>-12.211805220416892</v>
      </c>
      <c r="R632" s="96"/>
      <c r="Y632" s="88"/>
      <c r="Z632" s="88"/>
      <c r="AA632" s="88"/>
    </row>
    <row r="633" spans="14:27" x14ac:dyDescent="0.3">
      <c r="N633" s="104">
        <v>0</v>
      </c>
      <c r="O633" s="104">
        <f t="shared" si="10"/>
        <v>110.10316073410161</v>
      </c>
      <c r="P633" s="104">
        <v>1321.2379288092193</v>
      </c>
      <c r="Q633" s="104">
        <v>-12.211417751389931</v>
      </c>
      <c r="R633" s="96"/>
      <c r="Y633" s="88"/>
      <c r="Z633" s="88"/>
      <c r="AA633" s="88"/>
    </row>
    <row r="634" spans="14:27" x14ac:dyDescent="0.3">
      <c r="N634" s="104">
        <v>0</v>
      </c>
      <c r="O634" s="104">
        <f t="shared" si="10"/>
        <v>110.1033349341012</v>
      </c>
      <c r="P634" s="104">
        <v>1321.2400192092143</v>
      </c>
      <c r="Q634" s="104">
        <v>-12.211224020116035</v>
      </c>
      <c r="R634" s="96"/>
      <c r="Y634" s="88"/>
      <c r="Z634" s="88"/>
      <c r="AA634" s="88"/>
    </row>
    <row r="635" spans="14:27" x14ac:dyDescent="0.3">
      <c r="N635" s="104">
        <v>0</v>
      </c>
      <c r="O635" s="104">
        <f t="shared" si="10"/>
        <v>111.040651670087</v>
      </c>
      <c r="P635" s="104">
        <v>1332.487820041044</v>
      </c>
      <c r="Q635" s="104">
        <v>-11.2007285677822</v>
      </c>
      <c r="R635" s="96"/>
      <c r="Y635" s="88"/>
      <c r="Z635" s="88"/>
      <c r="AA635" s="88"/>
    </row>
    <row r="636" spans="14:27" x14ac:dyDescent="0.3">
      <c r="N636" s="104">
        <v>0</v>
      </c>
      <c r="O636" s="104">
        <f t="shared" si="10"/>
        <v>111.04082587008658</v>
      </c>
      <c r="P636" s="104">
        <v>1332.489910441039</v>
      </c>
      <c r="Q636" s="104">
        <v>-11.200546633029695</v>
      </c>
      <c r="R636" s="96"/>
      <c r="Y636" s="88"/>
      <c r="Z636" s="88"/>
      <c r="AA636" s="88"/>
    </row>
    <row r="637" spans="14:27" x14ac:dyDescent="0.3">
      <c r="N637" s="104">
        <v>0</v>
      </c>
      <c r="O637" s="104">
        <f t="shared" si="10"/>
        <v>111.04117427008576</v>
      </c>
      <c r="P637" s="104">
        <v>1332.4940912410291</v>
      </c>
      <c r="Q637" s="104">
        <v>-11.200182770135491</v>
      </c>
      <c r="R637" s="96"/>
      <c r="Y637" s="88"/>
      <c r="Z637" s="88"/>
      <c r="AA637" s="88"/>
    </row>
    <row r="638" spans="14:27" x14ac:dyDescent="0.3">
      <c r="N638" s="104">
        <v>0</v>
      </c>
      <c r="O638" s="104">
        <f t="shared" si="10"/>
        <v>111.04134847008534</v>
      </c>
      <c r="P638" s="104">
        <v>1332.4961816410241</v>
      </c>
      <c r="Q638" s="104">
        <v>-11.200000842025617</v>
      </c>
      <c r="R638" s="96"/>
      <c r="Y638" s="88"/>
      <c r="Z638" s="88"/>
      <c r="AA638" s="88"/>
    </row>
    <row r="639" spans="14:27" x14ac:dyDescent="0.3">
      <c r="N639" s="104">
        <v>0</v>
      </c>
      <c r="O639" s="104">
        <f t="shared" si="10"/>
        <v>111.97866520607114</v>
      </c>
      <c r="P639" s="104">
        <v>1343.7439824728538</v>
      </c>
      <c r="Q639" s="104">
        <v>-10.251958694233799</v>
      </c>
      <c r="R639" s="96"/>
      <c r="Y639" s="88"/>
      <c r="Z639" s="88"/>
      <c r="AA639" s="88"/>
    </row>
    <row r="640" spans="14:27" x14ac:dyDescent="0.3">
      <c r="N640" s="104">
        <v>0</v>
      </c>
      <c r="O640" s="104">
        <f t="shared" si="10"/>
        <v>111.97883940607073</v>
      </c>
      <c r="P640" s="104">
        <v>1343.7460728728488</v>
      </c>
      <c r="Q640" s="104">
        <v>-10.251788170351972</v>
      </c>
      <c r="R640" s="96"/>
      <c r="Y640" s="88"/>
      <c r="Z640" s="88"/>
      <c r="AA640" s="88"/>
    </row>
    <row r="641" spans="14:27" x14ac:dyDescent="0.3">
      <c r="N641" s="104">
        <v>0</v>
      </c>
      <c r="O641" s="104">
        <f t="shared" si="10"/>
        <v>111.9791878060699</v>
      </c>
      <c r="P641" s="104">
        <v>1343.7502536728389</v>
      </c>
      <c r="Q641" s="104">
        <v>-10.251447129128984</v>
      </c>
      <c r="R641" s="96"/>
      <c r="Y641" s="88"/>
      <c r="Z641" s="88"/>
      <c r="AA641" s="88"/>
    </row>
    <row r="642" spans="14:27" x14ac:dyDescent="0.3">
      <c r="N642" s="104">
        <v>0</v>
      </c>
      <c r="O642" s="104">
        <f t="shared" si="10"/>
        <v>111.97936200606949</v>
      </c>
      <c r="P642" s="104">
        <v>1343.7523440728339</v>
      </c>
      <c r="Q642" s="104">
        <v>-10.251276611536412</v>
      </c>
      <c r="R642" s="96"/>
      <c r="Y642" s="88"/>
      <c r="Z642" s="88"/>
      <c r="AA642" s="88"/>
    </row>
    <row r="643" spans="14:27" x14ac:dyDescent="0.3">
      <c r="N643" s="104">
        <v>0</v>
      </c>
      <c r="O643" s="104">
        <f t="shared" si="10"/>
        <v>112.61921695797623</v>
      </c>
      <c r="P643" s="104">
        <v>1351.4306034957149</v>
      </c>
      <c r="Q643" s="104">
        <v>-9.6388890362544615</v>
      </c>
      <c r="R643" s="96"/>
      <c r="Y643" s="88"/>
      <c r="Z643" s="88"/>
      <c r="AA643" s="88"/>
    </row>
    <row r="644" spans="14:27" x14ac:dyDescent="0.3">
      <c r="N644" s="104">
        <v>0</v>
      </c>
      <c r="O644" s="104">
        <f t="shared" si="10"/>
        <v>112.61939115797583</v>
      </c>
      <c r="P644" s="104">
        <v>1351.4326938957099</v>
      </c>
      <c r="Q644" s="104">
        <v>-9.6387260790225184</v>
      </c>
      <c r="R644" s="96"/>
      <c r="Y644" s="88"/>
      <c r="Z644" s="88"/>
      <c r="AA644" s="88"/>
    </row>
    <row r="645" spans="14:27" x14ac:dyDescent="0.3">
      <c r="N645" s="104">
        <v>0</v>
      </c>
      <c r="O645" s="104">
        <f t="shared" si="10"/>
        <v>112.619739557975</v>
      </c>
      <c r="P645" s="104">
        <v>1351.4368746957</v>
      </c>
      <c r="Q645" s="104">
        <v>-9.6384001713793737</v>
      </c>
      <c r="R645" s="96"/>
      <c r="Y645" s="88"/>
      <c r="Z645" s="88"/>
      <c r="AA645" s="88"/>
    </row>
    <row r="646" spans="14:27" x14ac:dyDescent="0.3">
      <c r="N646" s="104">
        <v>0</v>
      </c>
      <c r="O646" s="104">
        <f t="shared" si="10"/>
        <v>112.61991375797459</v>
      </c>
      <c r="P646" s="104">
        <v>1351.438965095695</v>
      </c>
      <c r="Q646" s="104">
        <v>-9.6382372204702875</v>
      </c>
      <c r="R646" s="96"/>
      <c r="Y646" s="88"/>
      <c r="Z646" s="88"/>
      <c r="AA646" s="88"/>
    </row>
    <row r="647" spans="14:27" x14ac:dyDescent="0.3">
      <c r="N647" s="104">
        <v>0</v>
      </c>
      <c r="O647" s="104">
        <f t="shared" ref="O647:O710" si="11">P647/12</f>
        <v>112.94608637395235</v>
      </c>
      <c r="P647" s="104">
        <v>1355.3530364874282</v>
      </c>
      <c r="Q647" s="104">
        <v>-9.3366781477045038</v>
      </c>
      <c r="R647" s="96"/>
      <c r="Y647" s="88"/>
      <c r="Z647" s="88"/>
      <c r="AA647" s="88"/>
    </row>
    <row r="648" spans="14:27" x14ac:dyDescent="0.3">
      <c r="N648" s="104">
        <v>0</v>
      </c>
      <c r="O648" s="104">
        <f t="shared" si="11"/>
        <v>112.94626057395193</v>
      </c>
      <c r="P648" s="104">
        <v>1355.3551268874232</v>
      </c>
      <c r="Q648" s="104">
        <v>-9.3365189814514764</v>
      </c>
      <c r="R648" s="96"/>
      <c r="Y648" s="88"/>
      <c r="Z648" s="88"/>
      <c r="AA648" s="88"/>
    </row>
    <row r="649" spans="14:27" x14ac:dyDescent="0.3">
      <c r="N649" s="104">
        <v>0</v>
      </c>
      <c r="O649" s="104">
        <f t="shared" si="11"/>
        <v>112.94660897395111</v>
      </c>
      <c r="P649" s="104">
        <v>1355.3593076874133</v>
      </c>
      <c r="Q649" s="104">
        <v>-9.3362006552918899</v>
      </c>
      <c r="R649" s="96"/>
      <c r="Y649" s="88"/>
      <c r="Z649" s="88"/>
      <c r="AA649" s="88"/>
    </row>
    <row r="650" spans="14:27" x14ac:dyDescent="0.3">
      <c r="N650" s="104">
        <v>0</v>
      </c>
      <c r="O650" s="104">
        <f t="shared" si="11"/>
        <v>112.94678317395069</v>
      </c>
      <c r="P650" s="104">
        <v>1355.3613980874084</v>
      </c>
      <c r="Q650" s="104">
        <v>-9.3360414950000532</v>
      </c>
      <c r="R650" s="96"/>
      <c r="Y650" s="88"/>
      <c r="Z650" s="88"/>
      <c r="AA650" s="88"/>
    </row>
    <row r="651" spans="14:27" x14ac:dyDescent="0.3">
      <c r="N651" s="104">
        <v>0</v>
      </c>
      <c r="O651" s="104">
        <f t="shared" si="11"/>
        <v>113.58663812585745</v>
      </c>
      <c r="P651" s="104">
        <v>1363.0396575102893</v>
      </c>
      <c r="Q651" s="104">
        <v>-8.7648636647747367</v>
      </c>
      <c r="R651" s="96"/>
      <c r="Y651" s="88"/>
      <c r="Z651" s="88"/>
      <c r="AA651" s="88"/>
    </row>
    <row r="652" spans="14:27" x14ac:dyDescent="0.3">
      <c r="N652" s="104">
        <v>0</v>
      </c>
      <c r="O652" s="104">
        <f t="shared" si="11"/>
        <v>113.58681232585703</v>
      </c>
      <c r="P652" s="104">
        <v>1363.0417479102844</v>
      </c>
      <c r="Q652" s="104">
        <v>-8.7647117889014794</v>
      </c>
      <c r="R652" s="96"/>
      <c r="Y652" s="88"/>
      <c r="Z652" s="88"/>
      <c r="AA652" s="88"/>
    </row>
    <row r="653" spans="14:27" x14ac:dyDescent="0.3">
      <c r="N653" s="104">
        <v>0</v>
      </c>
      <c r="O653" s="104">
        <f t="shared" si="11"/>
        <v>113.58716072585621</v>
      </c>
      <c r="P653" s="104">
        <v>1363.0459287102744</v>
      </c>
      <c r="Q653" s="104">
        <v>-8.7644080434978306</v>
      </c>
      <c r="R653" s="96"/>
      <c r="Y653" s="88"/>
      <c r="Z653" s="88"/>
      <c r="AA653" s="88"/>
    </row>
    <row r="654" spans="14:27" x14ac:dyDescent="0.3">
      <c r="N654" s="104">
        <v>0</v>
      </c>
      <c r="O654" s="104">
        <f t="shared" si="11"/>
        <v>113.58733492585579</v>
      </c>
      <c r="P654" s="104">
        <v>1363.0480191102695</v>
      </c>
      <c r="Q654" s="104">
        <v>-8.7642561737297839</v>
      </c>
      <c r="R654" s="96"/>
      <c r="Y654" s="88"/>
      <c r="Z654" s="88"/>
      <c r="AA654" s="88"/>
    </row>
    <row r="655" spans="14:27" x14ac:dyDescent="0.3">
      <c r="N655" s="104">
        <v>0</v>
      </c>
      <c r="O655" s="104">
        <f t="shared" si="11"/>
        <v>114.52465166184159</v>
      </c>
      <c r="P655" s="104">
        <v>1374.2958199420991</v>
      </c>
      <c r="Q655" s="104">
        <v>-7.9750852525643268</v>
      </c>
      <c r="R655" s="96"/>
      <c r="Y655" s="88"/>
      <c r="Z655" s="88"/>
      <c r="AA655" s="88"/>
    </row>
    <row r="656" spans="14:27" x14ac:dyDescent="0.3">
      <c r="N656" s="104">
        <v>0</v>
      </c>
      <c r="O656" s="104">
        <f t="shared" si="11"/>
        <v>114.52482586184118</v>
      </c>
      <c r="P656" s="104">
        <v>1374.2979103420942</v>
      </c>
      <c r="Q656" s="104">
        <v>-7.9749437225111279</v>
      </c>
      <c r="R656" s="96"/>
      <c r="Y656" s="88"/>
      <c r="Z656" s="88"/>
      <c r="AA656" s="88"/>
    </row>
    <row r="657" spans="14:27" x14ac:dyDescent="0.3">
      <c r="N657" s="104">
        <v>0</v>
      </c>
      <c r="O657" s="104">
        <f t="shared" si="11"/>
        <v>114.52517426184035</v>
      </c>
      <c r="P657" s="104">
        <v>1374.3020911420842</v>
      </c>
      <c r="Q657" s="104">
        <v>-7.9746606685954902</v>
      </c>
      <c r="R657" s="96"/>
      <c r="Y657" s="88"/>
      <c r="Z657" s="88"/>
      <c r="AA657" s="88"/>
    </row>
    <row r="658" spans="14:27" x14ac:dyDescent="0.3">
      <c r="N658" s="104">
        <v>0</v>
      </c>
      <c r="O658" s="104">
        <f t="shared" si="11"/>
        <v>114.52534846183994</v>
      </c>
      <c r="P658" s="104">
        <v>1374.3041815420793</v>
      </c>
      <c r="Q658" s="104">
        <v>-7.9745191444613823</v>
      </c>
      <c r="R658" s="96"/>
      <c r="Y658" s="88"/>
      <c r="Z658" s="88"/>
      <c r="AA658" s="88"/>
    </row>
    <row r="659" spans="14:27" x14ac:dyDescent="0.3">
      <c r="N659" s="104">
        <v>0</v>
      </c>
      <c r="O659" s="104">
        <f t="shared" si="11"/>
        <v>115.46266519782574</v>
      </c>
      <c r="P659" s="104">
        <v>1385.5519823739089</v>
      </c>
      <c r="Q659" s="104">
        <v>-7.2399602122610602</v>
      </c>
      <c r="R659" s="96"/>
      <c r="Y659" s="88"/>
      <c r="Z659" s="88"/>
      <c r="AA659" s="88"/>
    </row>
    <row r="660" spans="14:27" x14ac:dyDescent="0.3">
      <c r="N660" s="104">
        <v>0</v>
      </c>
      <c r="O660" s="104">
        <f t="shared" si="11"/>
        <v>115.46283939782533</v>
      </c>
      <c r="P660" s="104">
        <v>1385.554072773904</v>
      </c>
      <c r="Q660" s="104">
        <v>-7.2398286362456545</v>
      </c>
      <c r="R660" s="96"/>
      <c r="Y660" s="88"/>
      <c r="Z660" s="88"/>
      <c r="AA660" s="88"/>
    </row>
    <row r="661" spans="14:27" x14ac:dyDescent="0.3">
      <c r="N661" s="104">
        <v>0</v>
      </c>
      <c r="O661" s="104">
        <f t="shared" si="11"/>
        <v>115.4631877978245</v>
      </c>
      <c r="P661" s="104">
        <v>1385.558253573894</v>
      </c>
      <c r="Q661" s="104">
        <v>-7.2395654890569503</v>
      </c>
      <c r="R661" s="96"/>
      <c r="Y661" s="88"/>
      <c r="Z661" s="88"/>
      <c r="AA661" s="88"/>
    </row>
    <row r="662" spans="14:27" x14ac:dyDescent="0.3">
      <c r="N662" s="104">
        <v>0</v>
      </c>
      <c r="O662" s="104">
        <f t="shared" si="11"/>
        <v>115.46336199782409</v>
      </c>
      <c r="P662" s="104">
        <v>1385.5603439738891</v>
      </c>
      <c r="Q662" s="104">
        <v>-7.2394339183200955</v>
      </c>
      <c r="R662" s="96"/>
      <c r="Y662" s="88"/>
      <c r="Z662" s="88"/>
      <c r="AA662" s="88"/>
    </row>
    <row r="663" spans="14:27" x14ac:dyDescent="0.3">
      <c r="N663" s="104">
        <v>0</v>
      </c>
      <c r="O663" s="104">
        <f t="shared" si="11"/>
        <v>116.10321694973084</v>
      </c>
      <c r="P663" s="104">
        <v>1393.23860339677</v>
      </c>
      <c r="Q663" s="104">
        <v>-6.7682755633804064</v>
      </c>
      <c r="R663" s="96"/>
      <c r="Y663" s="88"/>
      <c r="Z663" s="88"/>
      <c r="AA663" s="88"/>
    </row>
    <row r="664" spans="14:27" x14ac:dyDescent="0.3">
      <c r="N664" s="104">
        <v>0</v>
      </c>
      <c r="O664" s="104">
        <f t="shared" si="11"/>
        <v>116.10339114973043</v>
      </c>
      <c r="P664" s="104">
        <v>1393.2406937967651</v>
      </c>
      <c r="Q664" s="104">
        <v>-6.7681505590560178</v>
      </c>
      <c r="R664" s="96"/>
      <c r="Y664" s="88"/>
      <c r="Z664" s="88"/>
      <c r="AA664" s="88"/>
    </row>
    <row r="665" spans="14:27" x14ac:dyDescent="0.3">
      <c r="N665" s="104">
        <v>0</v>
      </c>
      <c r="O665" s="104">
        <f t="shared" si="11"/>
        <v>116.1037395497296</v>
      </c>
      <c r="P665" s="104">
        <v>1393.2448745967552</v>
      </c>
      <c r="Q665" s="104">
        <v>-6.7679005547221678</v>
      </c>
      <c r="R665" s="96"/>
      <c r="Y665" s="88"/>
      <c r="Z665" s="88"/>
      <c r="AA665" s="88"/>
    </row>
    <row r="666" spans="14:27" x14ac:dyDescent="0.3">
      <c r="N666" s="104">
        <v>0</v>
      </c>
      <c r="O666" s="104">
        <f t="shared" si="11"/>
        <v>116.10391374972919</v>
      </c>
      <c r="P666" s="104">
        <v>1393.2469649967502</v>
      </c>
      <c r="Q666" s="104">
        <v>-6.7677755554977281</v>
      </c>
      <c r="R666" s="96"/>
      <c r="Y666" s="88"/>
      <c r="Z666" s="88"/>
      <c r="AA666" s="88"/>
    </row>
    <row r="667" spans="14:27" x14ac:dyDescent="0.3">
      <c r="N667" s="104">
        <v>0</v>
      </c>
      <c r="O667" s="104">
        <f t="shared" si="11"/>
        <v>116.43008636570691</v>
      </c>
      <c r="P667" s="104">
        <v>1397.1610363884829</v>
      </c>
      <c r="Q667" s="104">
        <v>-6.5368024098838404</v>
      </c>
      <c r="R667" s="96"/>
      <c r="Y667" s="88"/>
      <c r="Z667" s="88"/>
      <c r="AA667" s="88"/>
    </row>
    <row r="668" spans="14:27" x14ac:dyDescent="0.3">
      <c r="N668" s="104">
        <v>0</v>
      </c>
      <c r="O668" s="104">
        <f t="shared" si="11"/>
        <v>116.43026056570649</v>
      </c>
      <c r="P668" s="104">
        <v>1397.1631267884779</v>
      </c>
      <c r="Q668" s="104">
        <v>-6.5366806880663049</v>
      </c>
      <c r="R668" s="96"/>
      <c r="Y668" s="88"/>
      <c r="Z668" s="88"/>
      <c r="AA668" s="88"/>
    </row>
    <row r="669" spans="14:27" x14ac:dyDescent="0.3">
      <c r="N669" s="104">
        <v>0</v>
      </c>
      <c r="O669" s="104">
        <f t="shared" si="11"/>
        <v>116.43060896570567</v>
      </c>
      <c r="P669" s="104">
        <v>1397.167307588468</v>
      </c>
      <c r="Q669" s="104">
        <v>-6.5364372501406436</v>
      </c>
      <c r="R669" s="96"/>
      <c r="Y669" s="88"/>
      <c r="Z669" s="88"/>
      <c r="AA669" s="88"/>
    </row>
    <row r="670" spans="14:27" x14ac:dyDescent="0.3">
      <c r="N670" s="104">
        <v>0</v>
      </c>
      <c r="O670" s="104">
        <f t="shared" si="11"/>
        <v>116.43078316570525</v>
      </c>
      <c r="P670" s="104">
        <v>1397.1693979884631</v>
      </c>
      <c r="Q670" s="104">
        <v>-6.5363155338580299</v>
      </c>
      <c r="R670" s="96"/>
      <c r="Y670" s="88"/>
      <c r="Z670" s="88"/>
      <c r="AA670" s="88"/>
    </row>
    <row r="671" spans="14:27" x14ac:dyDescent="0.3">
      <c r="N671" s="104">
        <v>0</v>
      </c>
      <c r="O671" s="104">
        <f t="shared" si="11"/>
        <v>117.07063811761201</v>
      </c>
      <c r="P671" s="104">
        <v>1404.847657411344</v>
      </c>
      <c r="Q671" s="104">
        <v>-6.1008462250133135</v>
      </c>
      <c r="R671" s="96"/>
      <c r="Y671" s="88"/>
      <c r="Z671" s="88"/>
      <c r="AA671" s="88"/>
    </row>
    <row r="672" spans="14:27" x14ac:dyDescent="0.3">
      <c r="N672" s="104">
        <v>0</v>
      </c>
      <c r="O672" s="104">
        <f t="shared" si="11"/>
        <v>117.07081231761158</v>
      </c>
      <c r="P672" s="104">
        <v>1404.8497478113391</v>
      </c>
      <c r="Q672" s="104">
        <v>-6.1007307985614077</v>
      </c>
      <c r="R672" s="96"/>
      <c r="Y672" s="88"/>
      <c r="Z672" s="88"/>
      <c r="AA672" s="88"/>
    </row>
    <row r="673" spans="14:27" x14ac:dyDescent="0.3">
      <c r="N673" s="104">
        <v>0</v>
      </c>
      <c r="O673" s="104">
        <f t="shared" si="11"/>
        <v>117.07116071761077</v>
      </c>
      <c r="P673" s="104">
        <v>1404.8539286113291</v>
      </c>
      <c r="Q673" s="104">
        <v>-6.1004999508216571</v>
      </c>
      <c r="R673" s="96"/>
      <c r="Y673" s="88"/>
      <c r="Z673" s="88"/>
      <c r="AA673" s="88"/>
    </row>
    <row r="674" spans="14:27" x14ac:dyDescent="0.3">
      <c r="N674" s="104">
        <v>0</v>
      </c>
      <c r="O674" s="104">
        <f t="shared" si="11"/>
        <v>117.07133491761034</v>
      </c>
      <c r="P674" s="104">
        <v>1404.8560190113242</v>
      </c>
      <c r="Q674" s="104">
        <v>-6.1003845298238275</v>
      </c>
      <c r="R674" s="96"/>
      <c r="Y674" s="88"/>
      <c r="Z674" s="88"/>
      <c r="AA674" s="88"/>
    </row>
    <row r="675" spans="14:27" x14ac:dyDescent="0.3">
      <c r="N675" s="104">
        <v>0</v>
      </c>
      <c r="O675" s="104">
        <f t="shared" si="11"/>
        <v>118.00865165359615</v>
      </c>
      <c r="P675" s="104">
        <v>1416.1038198431538</v>
      </c>
      <c r="Q675" s="104">
        <v>-5.5034135029606048</v>
      </c>
      <c r="R675" s="96"/>
      <c r="Y675" s="88"/>
      <c r="Z675" s="88"/>
      <c r="AA675" s="88"/>
    </row>
    <row r="676" spans="14:27" x14ac:dyDescent="0.3">
      <c r="N676" s="104">
        <v>0</v>
      </c>
      <c r="O676" s="104">
        <f t="shared" si="11"/>
        <v>118.00882585359574</v>
      </c>
      <c r="P676" s="104">
        <v>1416.1059102431489</v>
      </c>
      <c r="Q676" s="104">
        <v>-5.5033069650014355</v>
      </c>
      <c r="R676" s="96"/>
      <c r="Y676" s="88"/>
      <c r="Z676" s="88"/>
      <c r="AA676" s="88"/>
    </row>
    <row r="677" spans="14:27" x14ac:dyDescent="0.3">
      <c r="N677" s="104">
        <v>0</v>
      </c>
      <c r="O677" s="104">
        <f t="shared" si="11"/>
        <v>118.00917425359491</v>
      </c>
      <c r="P677" s="104">
        <v>1416.1100910431389</v>
      </c>
      <c r="Q677" s="104">
        <v>-5.5030938946205836</v>
      </c>
      <c r="R677" s="96"/>
      <c r="Y677" s="88"/>
      <c r="Z677" s="88"/>
      <c r="AA677" s="88"/>
    </row>
    <row r="678" spans="14:27" x14ac:dyDescent="0.3">
      <c r="N678" s="104">
        <v>0</v>
      </c>
      <c r="O678" s="104">
        <f t="shared" si="11"/>
        <v>118.0093484535945</v>
      </c>
      <c r="P678" s="104">
        <v>1416.112181443134</v>
      </c>
      <c r="Q678" s="104">
        <v>-5.5029873614953999</v>
      </c>
      <c r="R678" s="96"/>
      <c r="Y678" s="88"/>
      <c r="Z678" s="88"/>
      <c r="AA678" s="88"/>
    </row>
    <row r="679" spans="14:27" x14ac:dyDescent="0.3">
      <c r="N679" s="104">
        <v>0</v>
      </c>
      <c r="O679" s="104">
        <f t="shared" si="11"/>
        <v>118.9466651895803</v>
      </c>
      <c r="P679" s="104">
        <v>1427.3599822749636</v>
      </c>
      <c r="Q679" s="104">
        <v>-4.9527868865035956</v>
      </c>
      <c r="R679" s="96"/>
      <c r="Y679" s="88"/>
      <c r="Z679" s="88"/>
      <c r="AA679" s="88"/>
    </row>
    <row r="680" spans="14:27" x14ac:dyDescent="0.3">
      <c r="N680" s="104">
        <v>0</v>
      </c>
      <c r="O680" s="104">
        <f t="shared" si="11"/>
        <v>118.94683938957989</v>
      </c>
      <c r="P680" s="104">
        <v>1427.3620726749587</v>
      </c>
      <c r="Q680" s="104">
        <v>-4.952688844889984</v>
      </c>
      <c r="R680" s="96"/>
      <c r="Y680" s="88"/>
      <c r="Z680" s="88"/>
      <c r="AA680" s="88"/>
    </row>
    <row r="681" spans="14:27" x14ac:dyDescent="0.3">
      <c r="N681" s="104">
        <v>0</v>
      </c>
      <c r="O681" s="104">
        <f t="shared" si="11"/>
        <v>118.94718778957906</v>
      </c>
      <c r="P681" s="104">
        <v>1427.3662534749487</v>
      </c>
      <c r="Q681" s="104">
        <v>-4.9524927663053191</v>
      </c>
      <c r="R681" s="96"/>
      <c r="Y681" s="88"/>
      <c r="Z681" s="88"/>
      <c r="AA681" s="88"/>
    </row>
    <row r="682" spans="14:27" x14ac:dyDescent="0.3">
      <c r="N682" s="104">
        <v>0</v>
      </c>
      <c r="O682" s="104">
        <f t="shared" si="11"/>
        <v>118.94736198957865</v>
      </c>
      <c r="P682" s="104">
        <v>1427.3683438749438</v>
      </c>
      <c r="Q682" s="104">
        <v>-4.9523947292367296</v>
      </c>
      <c r="R682" s="96"/>
      <c r="Y682" s="88"/>
      <c r="Z682" s="88"/>
      <c r="AA682" s="88"/>
    </row>
    <row r="683" spans="14:27" x14ac:dyDescent="0.3">
      <c r="N683" s="104">
        <v>0</v>
      </c>
      <c r="O683" s="104">
        <f t="shared" si="11"/>
        <v>119.58721694148539</v>
      </c>
      <c r="P683" s="104">
        <v>1435.0466032978247</v>
      </c>
      <c r="Q683" s="104">
        <v>-4.6025836459001397</v>
      </c>
      <c r="R683" s="96"/>
      <c r="Y683" s="88"/>
      <c r="Z683" s="88"/>
      <c r="AA683" s="88"/>
    </row>
    <row r="684" spans="14:27" x14ac:dyDescent="0.3">
      <c r="N684" s="104">
        <v>0</v>
      </c>
      <c r="O684" s="104">
        <f t="shared" si="11"/>
        <v>119.58739114148499</v>
      </c>
      <c r="P684" s="104">
        <v>1435.0486936978198</v>
      </c>
      <c r="Q684" s="104">
        <v>-4.6024911806678759</v>
      </c>
      <c r="R684" s="96"/>
      <c r="Y684" s="88"/>
      <c r="Z684" s="88"/>
      <c r="AA684" s="88"/>
    </row>
    <row r="685" spans="14:27" x14ac:dyDescent="0.3">
      <c r="N685" s="104">
        <v>0</v>
      </c>
      <c r="O685" s="104">
        <f t="shared" si="11"/>
        <v>119.58773954148415</v>
      </c>
      <c r="P685" s="104">
        <v>1435.0528744978099</v>
      </c>
      <c r="Q685" s="104">
        <v>-4.6023062548945575</v>
      </c>
      <c r="R685" s="96"/>
      <c r="Y685" s="88"/>
      <c r="Z685" s="88"/>
      <c r="AA685" s="88"/>
    </row>
    <row r="686" spans="14:27" x14ac:dyDescent="0.3">
      <c r="N686" s="104">
        <v>0</v>
      </c>
      <c r="O686" s="104">
        <f t="shared" si="11"/>
        <v>119.58791374148375</v>
      </c>
      <c r="P686" s="104">
        <v>1435.0549648978049</v>
      </c>
      <c r="Q686" s="104">
        <v>-4.6022137944951496</v>
      </c>
      <c r="R686" s="96"/>
      <c r="Y686" s="88"/>
      <c r="Z686" s="88"/>
      <c r="AA686" s="88"/>
    </row>
    <row r="687" spans="14:27" x14ac:dyDescent="0.3">
      <c r="N687" s="104">
        <v>0</v>
      </c>
      <c r="O687" s="104">
        <f t="shared" si="11"/>
        <v>119.9140863574615</v>
      </c>
      <c r="P687" s="104">
        <v>1438.9690362895381</v>
      </c>
      <c r="Q687" s="104">
        <v>-4.4316915281913651</v>
      </c>
      <c r="R687" s="96"/>
      <c r="Y687" s="88"/>
      <c r="Z687" s="88"/>
      <c r="AA687" s="88"/>
    </row>
    <row r="688" spans="14:27" x14ac:dyDescent="0.3">
      <c r="N688" s="104">
        <v>0</v>
      </c>
      <c r="O688" s="104">
        <f t="shared" si="11"/>
        <v>119.91426055746109</v>
      </c>
      <c r="P688" s="104">
        <v>1438.9711266895331</v>
      </c>
      <c r="Q688" s="104">
        <v>-4.4316018383219316</v>
      </c>
      <c r="R688" s="96"/>
      <c r="Y688" s="88"/>
      <c r="Z688" s="88"/>
      <c r="AA688" s="88"/>
    </row>
    <row r="689" spans="14:27" x14ac:dyDescent="0.3">
      <c r="N689" s="104">
        <v>0</v>
      </c>
      <c r="O689" s="104">
        <f t="shared" si="11"/>
        <v>119.91460895746026</v>
      </c>
      <c r="P689" s="104">
        <v>1438.9753074895232</v>
      </c>
      <c r="Q689" s="104">
        <v>-4.4314224624946306</v>
      </c>
      <c r="R689" s="96"/>
      <c r="Y689" s="88"/>
      <c r="Z689" s="88"/>
      <c r="AA689" s="88"/>
    </row>
    <row r="690" spans="14:27" x14ac:dyDescent="0.3">
      <c r="N690" s="104">
        <v>0</v>
      </c>
      <c r="O690" s="104">
        <f t="shared" si="11"/>
        <v>119.91478315745985</v>
      </c>
      <c r="P690" s="104">
        <v>1438.9773978895182</v>
      </c>
      <c r="Q690" s="104">
        <v>-4.4313327770110718</v>
      </c>
      <c r="R690" s="96"/>
      <c r="Y690" s="88"/>
      <c r="Z690" s="88"/>
      <c r="AA690" s="88"/>
    </row>
    <row r="691" spans="14:27" x14ac:dyDescent="0.3">
      <c r="N691" s="104">
        <v>0</v>
      </c>
      <c r="O691" s="104">
        <f t="shared" si="11"/>
        <v>120.55463810936659</v>
      </c>
      <c r="P691" s="104">
        <v>1446.6556573123992</v>
      </c>
      <c r="Q691" s="104">
        <v>-4.1116899613041369</v>
      </c>
      <c r="R691" s="96"/>
      <c r="Y691" s="88"/>
      <c r="Z691" s="88"/>
      <c r="AA691" s="88"/>
    </row>
    <row r="692" spans="14:27" x14ac:dyDescent="0.3">
      <c r="N692" s="104">
        <v>0</v>
      </c>
      <c r="O692" s="104">
        <f t="shared" si="11"/>
        <v>120.55481230936618</v>
      </c>
      <c r="P692" s="104">
        <v>1446.6577477123942</v>
      </c>
      <c r="Q692" s="104">
        <v>-4.1116055713691395</v>
      </c>
      <c r="R692" s="96"/>
      <c r="Y692" s="88"/>
      <c r="Z692" s="88"/>
      <c r="AA692" s="88"/>
    </row>
    <row r="693" spans="14:27" x14ac:dyDescent="0.3">
      <c r="N693" s="104">
        <v>0</v>
      </c>
      <c r="O693" s="104">
        <f t="shared" si="11"/>
        <v>120.55516070936535</v>
      </c>
      <c r="P693" s="104">
        <v>1446.6619285123843</v>
      </c>
      <c r="Q693" s="104">
        <v>-4.1114367959587668</v>
      </c>
      <c r="R693" s="96"/>
      <c r="Y693" s="88"/>
      <c r="Z693" s="88"/>
      <c r="AA693" s="88"/>
    </row>
    <row r="694" spans="14:27" x14ac:dyDescent="0.3">
      <c r="N694" s="104">
        <v>0</v>
      </c>
      <c r="O694" s="104">
        <f t="shared" si="11"/>
        <v>120.55533490936494</v>
      </c>
      <c r="P694" s="104">
        <v>1446.6640189123793</v>
      </c>
      <c r="Q694" s="104">
        <v>-4.1113524102250878</v>
      </c>
      <c r="R694" s="96"/>
      <c r="Y694" s="88"/>
      <c r="Z694" s="88"/>
      <c r="AA694" s="88"/>
    </row>
    <row r="695" spans="14:27" x14ac:dyDescent="0.3">
      <c r="N695" s="104">
        <v>0</v>
      </c>
      <c r="O695" s="104">
        <f t="shared" si="11"/>
        <v>121.49265164535075</v>
      </c>
      <c r="P695" s="104">
        <v>1457.911819744209</v>
      </c>
      <c r="Q695" s="104">
        <v>-3.6774562137348141</v>
      </c>
      <c r="R695" s="96"/>
      <c r="Y695" s="88"/>
      <c r="Z695" s="88"/>
      <c r="AA695" s="88"/>
    </row>
    <row r="696" spans="14:27" x14ac:dyDescent="0.3">
      <c r="N696" s="104">
        <v>0</v>
      </c>
      <c r="O696" s="104">
        <f t="shared" si="11"/>
        <v>121.49282584535034</v>
      </c>
      <c r="P696" s="104">
        <v>1457.913910144204</v>
      </c>
      <c r="Q696" s="104">
        <v>-3.6773792552279048</v>
      </c>
      <c r="R696" s="96"/>
      <c r="Y696" s="88"/>
      <c r="Z696" s="88"/>
      <c r="AA696" s="88"/>
    </row>
    <row r="697" spans="14:27" x14ac:dyDescent="0.3">
      <c r="N697" s="104">
        <v>0</v>
      </c>
      <c r="O697" s="104">
        <f t="shared" si="11"/>
        <v>121.49317424534951</v>
      </c>
      <c r="P697" s="104">
        <v>1457.9180909441941</v>
      </c>
      <c r="Q697" s="104">
        <v>-3.6772253419689775</v>
      </c>
      <c r="R697" s="96"/>
      <c r="Y697" s="88"/>
      <c r="Z697" s="88"/>
      <c r="AA697" s="88"/>
    </row>
    <row r="698" spans="14:27" x14ac:dyDescent="0.3">
      <c r="N698" s="104">
        <v>0</v>
      </c>
      <c r="O698" s="104">
        <f t="shared" si="11"/>
        <v>121.4933484453491</v>
      </c>
      <c r="P698" s="104">
        <v>1457.9201813441891</v>
      </c>
      <c r="Q698" s="104">
        <v>-3.6771483871636192</v>
      </c>
      <c r="R698" s="96"/>
      <c r="Y698" s="88"/>
      <c r="Z698" s="88"/>
      <c r="AA698" s="88"/>
    </row>
    <row r="699" spans="14:27" x14ac:dyDescent="0.3">
      <c r="N699" s="104">
        <v>0</v>
      </c>
      <c r="O699" s="104">
        <f t="shared" si="11"/>
        <v>122.4306651813349</v>
      </c>
      <c r="P699" s="104">
        <v>1469.1679821760188</v>
      </c>
      <c r="Q699" s="104">
        <v>-3.2821812016730263</v>
      </c>
      <c r="R699" s="96"/>
      <c r="Y699" s="88"/>
      <c r="Z699" s="88"/>
      <c r="AA699" s="88"/>
    </row>
    <row r="700" spans="14:27" x14ac:dyDescent="0.3">
      <c r="N700" s="104">
        <v>0</v>
      </c>
      <c r="O700" s="104">
        <f t="shared" si="11"/>
        <v>122.43083938133448</v>
      </c>
      <c r="P700" s="104">
        <v>1469.1700725760138</v>
      </c>
      <c r="Q700" s="104">
        <v>-3.2821112814386169</v>
      </c>
      <c r="R700" s="96"/>
      <c r="Y700" s="88"/>
      <c r="Z700" s="88"/>
      <c r="AA700" s="88"/>
    </row>
    <row r="701" spans="14:27" x14ac:dyDescent="0.3">
      <c r="N701" s="104">
        <v>0</v>
      </c>
      <c r="O701" s="104">
        <f t="shared" si="11"/>
        <v>122.43118778133366</v>
      </c>
      <c r="P701" s="104">
        <v>1469.1742533760039</v>
      </c>
      <c r="Q701" s="104">
        <v>-3.2819714460380851</v>
      </c>
      <c r="R701" s="96"/>
      <c r="Y701" s="88"/>
      <c r="Z701" s="88"/>
      <c r="AA701" s="88"/>
    </row>
    <row r="702" spans="14:27" x14ac:dyDescent="0.3">
      <c r="N702" s="104">
        <v>0</v>
      </c>
      <c r="O702" s="104">
        <f t="shared" si="11"/>
        <v>122.43136198133324</v>
      </c>
      <c r="P702" s="104">
        <v>1469.1763437759989</v>
      </c>
      <c r="Q702" s="104">
        <v>-3.2819015300094208</v>
      </c>
      <c r="R702" s="96"/>
      <c r="Y702" s="88"/>
      <c r="Z702" s="88"/>
      <c r="AA702" s="88"/>
    </row>
    <row r="703" spans="14:27" x14ac:dyDescent="0.3">
      <c r="N703" s="104">
        <v>0</v>
      </c>
      <c r="O703" s="104">
        <f t="shared" si="11"/>
        <v>123.07121693324</v>
      </c>
      <c r="P703" s="104">
        <v>1476.8546031988799</v>
      </c>
      <c r="Q703" s="104">
        <v>-3.0335554983161757</v>
      </c>
      <c r="R703" s="96"/>
      <c r="Y703" s="88"/>
      <c r="Z703" s="88"/>
      <c r="AA703" s="88"/>
    </row>
    <row r="704" spans="14:27" x14ac:dyDescent="0.3">
      <c r="N704" s="104">
        <v>0</v>
      </c>
      <c r="O704" s="104">
        <f t="shared" si="11"/>
        <v>123.07139113323957</v>
      </c>
      <c r="P704" s="104">
        <v>1476.8566935988749</v>
      </c>
      <c r="Q704" s="104">
        <v>-3.0334901602824971</v>
      </c>
      <c r="R704" s="96"/>
      <c r="Y704" s="88"/>
      <c r="Z704" s="88"/>
      <c r="AA704" s="88"/>
    </row>
    <row r="705" spans="14:27" x14ac:dyDescent="0.3">
      <c r="N705" s="104">
        <v>0</v>
      </c>
      <c r="O705" s="104">
        <f t="shared" si="11"/>
        <v>123.07173953323876</v>
      </c>
      <c r="P705" s="104">
        <v>1476.860874398865</v>
      </c>
      <c r="Q705" s="104">
        <v>-3.0333594868576057</v>
      </c>
      <c r="R705" s="96"/>
      <c r="Y705" s="88"/>
      <c r="Z705" s="88"/>
      <c r="AA705" s="88"/>
    </row>
    <row r="706" spans="14:27" x14ac:dyDescent="0.3">
      <c r="N706" s="104">
        <v>0</v>
      </c>
      <c r="O706" s="104">
        <f t="shared" si="11"/>
        <v>123.07191373323833</v>
      </c>
      <c r="P706" s="104">
        <v>1476.86296479886</v>
      </c>
      <c r="Q706" s="104">
        <v>-3.033294151982318</v>
      </c>
      <c r="R706" s="96"/>
      <c r="Y706" s="88"/>
      <c r="Z706" s="88"/>
      <c r="AA706" s="88"/>
    </row>
    <row r="707" spans="14:27" x14ac:dyDescent="0.3">
      <c r="N707" s="104">
        <v>0</v>
      </c>
      <c r="O707" s="104">
        <f t="shared" si="11"/>
        <v>123.39808634921606</v>
      </c>
      <c r="P707" s="104">
        <v>1480.7770361905928</v>
      </c>
      <c r="Q707" s="104">
        <v>-2.9130875827718654</v>
      </c>
      <c r="R707" s="96"/>
      <c r="Y707" s="88"/>
      <c r="Z707" s="88"/>
      <c r="AA707" s="88"/>
    </row>
    <row r="708" spans="14:27" x14ac:dyDescent="0.3">
      <c r="N708" s="104">
        <v>0</v>
      </c>
      <c r="O708" s="104">
        <f t="shared" si="11"/>
        <v>123.39826054921565</v>
      </c>
      <c r="P708" s="104">
        <v>1480.7791265905878</v>
      </c>
      <c r="Q708" s="104">
        <v>-2.913024511233985</v>
      </c>
      <c r="R708" s="96"/>
      <c r="Y708" s="88"/>
      <c r="Z708" s="88"/>
      <c r="AA708" s="88"/>
    </row>
    <row r="709" spans="14:27" x14ac:dyDescent="0.3">
      <c r="N709" s="104">
        <v>0</v>
      </c>
      <c r="O709" s="104">
        <f t="shared" si="11"/>
        <v>123.39860894921482</v>
      </c>
      <c r="P709" s="104">
        <v>1480.7833073905779</v>
      </c>
      <c r="Q709" s="104">
        <v>-2.91289837246633</v>
      </c>
      <c r="R709" s="96"/>
      <c r="Y709" s="88"/>
      <c r="Z709" s="88"/>
      <c r="AA709" s="88"/>
    </row>
    <row r="710" spans="14:27" x14ac:dyDescent="0.3">
      <c r="N710" s="104">
        <v>0</v>
      </c>
      <c r="O710" s="104">
        <f t="shared" si="11"/>
        <v>123.39878314921441</v>
      </c>
      <c r="P710" s="104">
        <v>1480.7853977905729</v>
      </c>
      <c r="Q710" s="104">
        <v>-2.9128353048036502</v>
      </c>
      <c r="R710" s="96"/>
      <c r="Y710" s="88"/>
      <c r="Z710" s="88"/>
      <c r="AA710" s="88"/>
    </row>
    <row r="711" spans="14:27" x14ac:dyDescent="0.3">
      <c r="N711" s="104">
        <v>0</v>
      </c>
      <c r="O711" s="104">
        <f t="shared" ref="O711:O774" si="12">P711/12</f>
        <v>124.03863810112115</v>
      </c>
      <c r="P711" s="104">
        <v>1488.4636572134539</v>
      </c>
      <c r="Q711" s="104">
        <v>-2.6891366958665373</v>
      </c>
      <c r="R711" s="96"/>
      <c r="Y711" s="88"/>
      <c r="Z711" s="88"/>
      <c r="AA711" s="88"/>
    </row>
    <row r="712" spans="14:27" x14ac:dyDescent="0.3">
      <c r="N712" s="104">
        <v>0</v>
      </c>
      <c r="O712" s="104">
        <f t="shared" si="12"/>
        <v>124.03881230112074</v>
      </c>
      <c r="P712" s="104">
        <v>1488.4657476134489</v>
      </c>
      <c r="Q712" s="104">
        <v>-2.6890779294130596</v>
      </c>
      <c r="R712" s="96"/>
      <c r="Y712" s="88"/>
      <c r="Z712" s="88"/>
      <c r="AA712" s="88"/>
    </row>
    <row r="713" spans="14:27" x14ac:dyDescent="0.3">
      <c r="N713" s="104">
        <v>0</v>
      </c>
      <c r="O713" s="104">
        <f t="shared" si="12"/>
        <v>124.03916070111991</v>
      </c>
      <c r="P713" s="104">
        <v>1488.469928413439</v>
      </c>
      <c r="Q713" s="104">
        <v>-2.6889604001787433</v>
      </c>
      <c r="R713" s="96"/>
      <c r="Y713" s="88"/>
      <c r="Z713" s="88"/>
      <c r="AA713" s="88"/>
    </row>
    <row r="714" spans="14:27" x14ac:dyDescent="0.3">
      <c r="N714" s="104">
        <v>0</v>
      </c>
      <c r="O714" s="104">
        <f t="shared" si="12"/>
        <v>124.0393349011195</v>
      </c>
      <c r="P714" s="104">
        <v>1488.472018813434</v>
      </c>
      <c r="Q714" s="104">
        <v>-2.6889016376997574</v>
      </c>
      <c r="R714" s="96"/>
      <c r="Y714" s="88"/>
      <c r="Z714" s="88"/>
      <c r="AA714" s="88"/>
    </row>
    <row r="715" spans="14:27" x14ac:dyDescent="0.3">
      <c r="N715" s="104">
        <v>0</v>
      </c>
      <c r="O715" s="104">
        <f t="shared" si="12"/>
        <v>124.97665163710531</v>
      </c>
      <c r="P715" s="104">
        <v>1499.7198196452637</v>
      </c>
      <c r="Q715" s="104">
        <v>-2.3889548449417077</v>
      </c>
      <c r="R715" s="96"/>
      <c r="Y715" s="88"/>
      <c r="Z715" s="88"/>
      <c r="AA715" s="88"/>
    </row>
    <row r="716" spans="14:27" x14ac:dyDescent="0.3">
      <c r="N716" s="104">
        <v>0</v>
      </c>
      <c r="O716" s="104">
        <f t="shared" si="12"/>
        <v>124.9768258371049</v>
      </c>
      <c r="P716" s="104">
        <v>1499.7219100452587</v>
      </c>
      <c r="Q716" s="104">
        <v>-2.3889020524201925</v>
      </c>
      <c r="R716" s="96"/>
      <c r="Y716" s="88"/>
      <c r="Z716" s="88"/>
      <c r="AA716" s="88"/>
    </row>
    <row r="717" spans="14:27" x14ac:dyDescent="0.3">
      <c r="N717" s="104">
        <v>0</v>
      </c>
      <c r="O717" s="104">
        <f t="shared" si="12"/>
        <v>124.97717423710407</v>
      </c>
      <c r="P717" s="104">
        <v>1499.7260908452488</v>
      </c>
      <c r="Q717" s="104">
        <v>-2.3887964708041665</v>
      </c>
      <c r="R717" s="96"/>
      <c r="Y717" s="88"/>
      <c r="Z717" s="88"/>
      <c r="AA717" s="88"/>
    </row>
    <row r="718" spans="14:27" x14ac:dyDescent="0.3">
      <c r="N718" s="104">
        <v>0</v>
      </c>
      <c r="O718" s="104">
        <f t="shared" si="12"/>
        <v>124.97734843710366</v>
      </c>
      <c r="P718" s="104">
        <v>1499.7281812452438</v>
      </c>
      <c r="Q718" s="104">
        <v>-2.3887436813213441</v>
      </c>
      <c r="R718" s="96"/>
      <c r="Y718" s="88"/>
      <c r="Z718" s="88"/>
      <c r="AA718" s="88"/>
    </row>
    <row r="719" spans="14:27" x14ac:dyDescent="0.3">
      <c r="N719" s="104">
        <v>0</v>
      </c>
      <c r="O719" s="104">
        <f t="shared" si="12"/>
        <v>125.91466517308946</v>
      </c>
      <c r="P719" s="104">
        <v>1510.9759820770735</v>
      </c>
      <c r="Q719" s="104">
        <v>-2.0260082736284204</v>
      </c>
      <c r="R719" s="96"/>
      <c r="Y719" s="88"/>
      <c r="Z719" s="88"/>
      <c r="AA719" s="88"/>
    </row>
    <row r="720" spans="14:27" x14ac:dyDescent="0.3">
      <c r="N720" s="104">
        <v>0</v>
      </c>
      <c r="O720" s="104">
        <f t="shared" si="12"/>
        <v>125.91483937308904</v>
      </c>
      <c r="P720" s="104">
        <v>1510.9780724770685</v>
      </c>
      <c r="Q720" s="104">
        <v>-2.0259614687173126</v>
      </c>
      <c r="R720" s="96"/>
      <c r="Y720" s="88"/>
      <c r="Z720" s="88"/>
      <c r="AA720" s="88"/>
    </row>
    <row r="721" spans="14:27" x14ac:dyDescent="0.3">
      <c r="N721" s="104">
        <v>0</v>
      </c>
      <c r="O721" s="104">
        <f t="shared" si="12"/>
        <v>125.91518777308822</v>
      </c>
      <c r="P721" s="104">
        <v>1510.9822532770586</v>
      </c>
      <c r="Q721" s="104">
        <v>-2.0258678615951453</v>
      </c>
      <c r="R721" s="96"/>
      <c r="Y721" s="88"/>
      <c r="Z721" s="88"/>
      <c r="AA721" s="88"/>
    </row>
    <row r="722" spans="14:27" x14ac:dyDescent="0.3">
      <c r="N722" s="104">
        <v>0</v>
      </c>
      <c r="O722" s="104">
        <f t="shared" si="12"/>
        <v>125.9153619730878</v>
      </c>
      <c r="P722" s="104">
        <v>1510.9843436770536</v>
      </c>
      <c r="Q722" s="104">
        <v>-2.0258210594187886</v>
      </c>
      <c r="R722" s="96"/>
      <c r="Y722" s="88"/>
      <c r="Z722" s="88"/>
      <c r="AA722" s="88"/>
    </row>
    <row r="723" spans="14:27" x14ac:dyDescent="0.3">
      <c r="N723" s="104">
        <v>0</v>
      </c>
      <c r="O723" s="104">
        <f t="shared" si="12"/>
        <v>126.55521692499455</v>
      </c>
      <c r="P723" s="104">
        <v>1518.6626030999346</v>
      </c>
      <c r="Q723" s="104">
        <v>-1.8605634810491694</v>
      </c>
      <c r="R723" s="96"/>
      <c r="Y723" s="88"/>
      <c r="Z723" s="88"/>
      <c r="AA723" s="88"/>
    </row>
    <row r="724" spans="14:27" x14ac:dyDescent="0.3">
      <c r="N724" s="104">
        <v>0</v>
      </c>
      <c r="O724" s="104">
        <f t="shared" si="12"/>
        <v>126.55539112499413</v>
      </c>
      <c r="P724" s="104">
        <v>1518.6646934999296</v>
      </c>
      <c r="Q724" s="104">
        <v>-1.8605202742061522</v>
      </c>
      <c r="R724" s="96"/>
      <c r="Y724" s="88"/>
      <c r="Z724" s="88"/>
      <c r="AA724" s="88"/>
    </row>
    <row r="725" spans="14:27" x14ac:dyDescent="0.3">
      <c r="N725" s="104">
        <v>0</v>
      </c>
      <c r="O725" s="104">
        <f t="shared" si="12"/>
        <v>126.55573952499331</v>
      </c>
      <c r="P725" s="104">
        <v>1518.6688742999197</v>
      </c>
      <c r="Q725" s="104">
        <v>-1.8604338630055395</v>
      </c>
      <c r="R725" s="96"/>
      <c r="Y725" s="88"/>
      <c r="Z725" s="88"/>
      <c r="AA725" s="88"/>
    </row>
    <row r="726" spans="14:27" x14ac:dyDescent="0.3">
      <c r="N726" s="104">
        <v>0</v>
      </c>
      <c r="O726" s="104">
        <f t="shared" si="12"/>
        <v>126.55591372499289</v>
      </c>
      <c r="P726" s="104">
        <v>1518.6709646999147</v>
      </c>
      <c r="Q726" s="104">
        <v>-1.8603906586416059</v>
      </c>
      <c r="R726" s="96"/>
      <c r="Y726" s="88"/>
      <c r="Z726" s="88"/>
      <c r="AA726" s="88"/>
    </row>
    <row r="727" spans="14:27" x14ac:dyDescent="0.3">
      <c r="N727" s="104">
        <v>0</v>
      </c>
      <c r="O727" s="104">
        <f t="shared" si="12"/>
        <v>126.88208634097066</v>
      </c>
      <c r="P727" s="104">
        <v>1522.5850360916479</v>
      </c>
      <c r="Q727" s="104">
        <v>-1.7811600292319554</v>
      </c>
      <c r="R727" s="96"/>
      <c r="Y727" s="88"/>
      <c r="Z727" s="88"/>
      <c r="AA727" s="88"/>
    </row>
    <row r="728" spans="14:27" x14ac:dyDescent="0.3">
      <c r="N728" s="104">
        <v>0</v>
      </c>
      <c r="O728" s="104">
        <f t="shared" si="12"/>
        <v>126.88226054097025</v>
      </c>
      <c r="P728" s="104">
        <v>1522.5871264916429</v>
      </c>
      <c r="Q728" s="104">
        <v>-1.7811185967051841</v>
      </c>
      <c r="R728" s="96"/>
      <c r="Y728" s="88"/>
      <c r="Z728" s="88"/>
      <c r="AA728" s="88"/>
    </row>
    <row r="729" spans="14:27" x14ac:dyDescent="0.3">
      <c r="N729" s="104">
        <v>0</v>
      </c>
      <c r="O729" s="104">
        <f t="shared" si="12"/>
        <v>126.88260894096942</v>
      </c>
      <c r="P729" s="104">
        <v>1522.591307291633</v>
      </c>
      <c r="Q729" s="104">
        <v>-1.7810357343096683</v>
      </c>
      <c r="R729" s="96"/>
      <c r="Y729" s="88"/>
      <c r="Z729" s="88"/>
      <c r="AA729" s="88"/>
    </row>
    <row r="730" spans="14:27" x14ac:dyDescent="0.3">
      <c r="N730" s="104">
        <v>0</v>
      </c>
      <c r="O730" s="104">
        <f t="shared" si="12"/>
        <v>126.88278314096901</v>
      </c>
      <c r="P730" s="104">
        <v>1522.5933976916281</v>
      </c>
      <c r="Q730" s="104">
        <v>-1.7809943044887575</v>
      </c>
      <c r="R730" s="96"/>
      <c r="Y730" s="88"/>
      <c r="Z730" s="88"/>
      <c r="AA730" s="88"/>
    </row>
    <row r="731" spans="14:27" x14ac:dyDescent="0.3">
      <c r="N731" s="104">
        <v>0</v>
      </c>
      <c r="O731" s="104">
        <f t="shared" si="12"/>
        <v>127.52263809287575</v>
      </c>
      <c r="P731" s="104">
        <v>1530.271657114509</v>
      </c>
      <c r="Q731" s="104">
        <v>-1.6350265077497141</v>
      </c>
      <c r="R731" s="96"/>
      <c r="Y731" s="88"/>
      <c r="Z731" s="88"/>
      <c r="AA731" s="88"/>
    </row>
    <row r="732" spans="14:27" x14ac:dyDescent="0.3">
      <c r="N732" s="104">
        <v>0</v>
      </c>
      <c r="O732" s="104">
        <f t="shared" si="12"/>
        <v>127.52281229287534</v>
      </c>
      <c r="P732" s="104">
        <v>1530.2737475145041</v>
      </c>
      <c r="Q732" s="104">
        <v>-1.6349884316771437</v>
      </c>
      <c r="R732" s="96"/>
      <c r="Y732" s="88"/>
      <c r="Z732" s="88"/>
      <c r="AA732" s="88"/>
    </row>
    <row r="733" spans="14:27" x14ac:dyDescent="0.3">
      <c r="N733" s="104">
        <v>0</v>
      </c>
      <c r="O733" s="104">
        <f t="shared" si="12"/>
        <v>127.52316069287451</v>
      </c>
      <c r="P733" s="104">
        <v>1530.2779283144941</v>
      </c>
      <c r="Q733" s="104">
        <v>-1.6349122822588242</v>
      </c>
      <c r="R733" s="96"/>
      <c r="Y733" s="88"/>
      <c r="Z733" s="88"/>
      <c r="AA733" s="88"/>
    </row>
    <row r="734" spans="14:27" x14ac:dyDescent="0.3">
      <c r="N734" s="104">
        <v>0</v>
      </c>
      <c r="O734" s="104">
        <f t="shared" si="12"/>
        <v>127.5233348928741</v>
      </c>
      <c r="P734" s="104">
        <v>1530.2800187144892</v>
      </c>
      <c r="Q734" s="104">
        <v>-1.6348742089653854</v>
      </c>
      <c r="R734" s="96"/>
      <c r="Y734" s="88"/>
      <c r="Z734" s="88"/>
      <c r="AA734" s="88"/>
    </row>
    <row r="735" spans="14:27" x14ac:dyDescent="0.3">
      <c r="N735" s="104">
        <v>0</v>
      </c>
      <c r="O735" s="104">
        <f t="shared" si="12"/>
        <v>128.46065162885989</v>
      </c>
      <c r="P735" s="104">
        <v>1541.5278195463188</v>
      </c>
      <c r="Q735" s="104">
        <v>-1.4426077049782577</v>
      </c>
      <c r="R735" s="96"/>
      <c r="Y735" s="88"/>
      <c r="Z735" s="88"/>
      <c r="AA735" s="88"/>
    </row>
    <row r="736" spans="14:27" x14ac:dyDescent="0.3">
      <c r="N736" s="104">
        <v>0</v>
      </c>
      <c r="O736" s="104">
        <f t="shared" si="12"/>
        <v>128.4608258288595</v>
      </c>
      <c r="P736" s="104">
        <v>1541.5299099463139</v>
      </c>
      <c r="Q736" s="104">
        <v>-1.4425742559158579</v>
      </c>
      <c r="R736" s="96"/>
      <c r="Y736" s="88"/>
      <c r="Z736" s="88"/>
      <c r="AA736" s="88"/>
    </row>
    <row r="737" spans="14:27" x14ac:dyDescent="0.3">
      <c r="N737" s="104">
        <v>0</v>
      </c>
      <c r="O737" s="104">
        <f t="shared" si="12"/>
        <v>128.46117422885865</v>
      </c>
      <c r="P737" s="104">
        <v>1541.5340907463039</v>
      </c>
      <c r="Q737" s="104">
        <v>-1.4425073603408407</v>
      </c>
      <c r="R737" s="96"/>
      <c r="Y737" s="88"/>
      <c r="Z737" s="88"/>
      <c r="AA737" s="88"/>
    </row>
    <row r="738" spans="14:27" x14ac:dyDescent="0.3">
      <c r="N738" s="104">
        <v>0</v>
      </c>
      <c r="O738" s="104">
        <f t="shared" si="12"/>
        <v>128.46134842885826</v>
      </c>
      <c r="P738" s="104">
        <v>1541.536181146299</v>
      </c>
      <c r="Q738" s="104">
        <v>-1.4424739136257472</v>
      </c>
      <c r="R738" s="96"/>
      <c r="Y738" s="88"/>
      <c r="Z738" s="88"/>
      <c r="AA738" s="88"/>
    </row>
    <row r="739" spans="14:27" x14ac:dyDescent="0.3">
      <c r="N739" s="104">
        <v>0</v>
      </c>
      <c r="O739" s="104">
        <f t="shared" si="12"/>
        <v>129.39866516484406</v>
      </c>
      <c r="P739" s="104">
        <v>1552.7839819781286</v>
      </c>
      <c r="Q739" s="104">
        <v>-1.2741811270630308</v>
      </c>
      <c r="R739" s="96"/>
      <c r="Y739" s="88"/>
      <c r="Z739" s="88"/>
      <c r="AA739" s="88"/>
    </row>
    <row r="740" spans="14:27" x14ac:dyDescent="0.3">
      <c r="N740" s="104">
        <v>0</v>
      </c>
      <c r="O740" s="104">
        <f t="shared" si="12"/>
        <v>129.39883936484364</v>
      </c>
      <c r="P740" s="104">
        <v>1552.7860723781237</v>
      </c>
      <c r="Q740" s="104">
        <v>-1.2741519622515227</v>
      </c>
      <c r="R740" s="96"/>
      <c r="Y740" s="88"/>
      <c r="Z740" s="88"/>
      <c r="AA740" s="88"/>
    </row>
    <row r="741" spans="14:27" x14ac:dyDescent="0.3">
      <c r="N741" s="104">
        <v>0</v>
      </c>
      <c r="O741" s="104">
        <f t="shared" si="12"/>
        <v>129.39918776484282</v>
      </c>
      <c r="P741" s="104">
        <v>1552.7902531781137</v>
      </c>
      <c r="Q741" s="104">
        <v>-1.274093634775042</v>
      </c>
      <c r="R741" s="96"/>
      <c r="Y741" s="88"/>
      <c r="Z741" s="88"/>
      <c r="AA741" s="88"/>
    </row>
    <row r="742" spans="14:27" x14ac:dyDescent="0.3">
      <c r="N742" s="104">
        <v>0</v>
      </c>
      <c r="O742" s="104">
        <f t="shared" si="12"/>
        <v>129.3993619648424</v>
      </c>
      <c r="P742" s="104">
        <v>1552.7923435781088</v>
      </c>
      <c r="Q742" s="104">
        <v>-1.2740644722801449</v>
      </c>
      <c r="R742" s="96"/>
      <c r="Y742" s="88"/>
      <c r="Z742" s="88"/>
      <c r="AA742" s="88"/>
    </row>
    <row r="743" spans="14:27" x14ac:dyDescent="0.3">
      <c r="N743" s="104">
        <v>0</v>
      </c>
      <c r="O743" s="104">
        <f t="shared" si="12"/>
        <v>130.03921691674915</v>
      </c>
      <c r="P743" s="104">
        <v>1560.4706030009897</v>
      </c>
      <c r="Q743" s="104">
        <v>-1.1720034931996821</v>
      </c>
      <c r="R743" s="96"/>
      <c r="Y743" s="88"/>
      <c r="Z743" s="88"/>
      <c r="AA743" s="88"/>
    </row>
    <row r="744" spans="14:27" x14ac:dyDescent="0.3">
      <c r="N744" s="104">
        <v>0</v>
      </c>
      <c r="O744" s="104">
        <f t="shared" si="12"/>
        <v>130.03939111674873</v>
      </c>
      <c r="P744" s="104">
        <v>1560.4726934009848</v>
      </c>
      <c r="Q744" s="104">
        <v>-1.1719770571991859</v>
      </c>
      <c r="R744" s="96"/>
      <c r="Y744" s="88"/>
      <c r="Z744" s="88"/>
      <c r="AA744" s="88"/>
    </row>
    <row r="745" spans="14:27" x14ac:dyDescent="0.3">
      <c r="N745" s="104">
        <v>0</v>
      </c>
      <c r="O745" s="104">
        <f t="shared" si="12"/>
        <v>130.03973951674791</v>
      </c>
      <c r="P745" s="104">
        <v>1560.4768742009749</v>
      </c>
      <c r="Q745" s="104">
        <v>-1.1719241871520154</v>
      </c>
      <c r="R745" s="96"/>
      <c r="Y745" s="88"/>
      <c r="Z745" s="88"/>
      <c r="AA745" s="88"/>
    </row>
    <row r="746" spans="14:27" x14ac:dyDescent="0.3">
      <c r="N746" s="104">
        <v>0</v>
      </c>
      <c r="O746" s="104">
        <f t="shared" si="12"/>
        <v>130.03991371674749</v>
      </c>
      <c r="P746" s="104">
        <v>1560.4789646009699</v>
      </c>
      <c r="Q746" s="104">
        <v>-1.1718977533092954</v>
      </c>
      <c r="R746" s="96"/>
      <c r="Y746" s="88"/>
      <c r="Z746" s="88"/>
      <c r="AA746" s="88"/>
    </row>
    <row r="747" spans="14:27" x14ac:dyDescent="0.3">
      <c r="N747" s="104">
        <v>0</v>
      </c>
      <c r="O747" s="104">
        <f t="shared" si="12"/>
        <v>130.36608633272522</v>
      </c>
      <c r="P747" s="104">
        <v>1564.3930359927026</v>
      </c>
      <c r="Q747" s="104">
        <v>-1.1236531234841181</v>
      </c>
      <c r="R747" s="96"/>
      <c r="Y747" s="88"/>
      <c r="Z747" s="88"/>
      <c r="AA747" s="88"/>
    </row>
    <row r="748" spans="14:27" x14ac:dyDescent="0.3">
      <c r="N748" s="104">
        <v>0</v>
      </c>
      <c r="O748" s="104">
        <f t="shared" si="12"/>
        <v>130.36626053272479</v>
      </c>
      <c r="P748" s="104">
        <v>1564.3951263926976</v>
      </c>
      <c r="Q748" s="104">
        <v>-1.123628017976543</v>
      </c>
      <c r="R748" s="96"/>
      <c r="Y748" s="88"/>
      <c r="Z748" s="88"/>
      <c r="AA748" s="88"/>
    </row>
    <row r="749" spans="14:27" x14ac:dyDescent="0.3">
      <c r="N749" s="104">
        <v>0</v>
      </c>
      <c r="O749" s="104">
        <f t="shared" si="12"/>
        <v>130.36660893272398</v>
      </c>
      <c r="P749" s="104">
        <v>1564.3993071926877</v>
      </c>
      <c r="Q749" s="104">
        <v>-1.1235778096319962</v>
      </c>
      <c r="R749" s="96"/>
      <c r="Y749" s="88"/>
      <c r="Z749" s="88"/>
      <c r="AA749" s="88"/>
    </row>
    <row r="750" spans="14:27" x14ac:dyDescent="0.3">
      <c r="N750" s="104">
        <v>0</v>
      </c>
      <c r="O750" s="104">
        <f t="shared" si="12"/>
        <v>130.36678313272355</v>
      </c>
      <c r="P750" s="104">
        <v>1564.4013975926828</v>
      </c>
      <c r="Q750" s="104">
        <v>-1.1235527065516067</v>
      </c>
      <c r="R750" s="96"/>
      <c r="Y750" s="88"/>
      <c r="Z750" s="88"/>
      <c r="AA750" s="88"/>
    </row>
    <row r="751" spans="14:27" x14ac:dyDescent="0.3">
      <c r="N751" s="104">
        <v>0</v>
      </c>
      <c r="O751" s="104">
        <f t="shared" si="12"/>
        <v>131.00663808463031</v>
      </c>
      <c r="P751" s="104">
        <v>1572.0796570155637</v>
      </c>
      <c r="Q751" s="104">
        <v>-1.0359591834650246</v>
      </c>
      <c r="R751" s="96"/>
      <c r="Y751" s="88"/>
      <c r="Z751" s="88"/>
      <c r="AA751" s="88"/>
    </row>
    <row r="752" spans="14:27" x14ac:dyDescent="0.3">
      <c r="N752" s="104">
        <v>0</v>
      </c>
      <c r="O752" s="104">
        <f t="shared" si="12"/>
        <v>131.00681228462989</v>
      </c>
      <c r="P752" s="104">
        <v>1572.0817474155588</v>
      </c>
      <c r="Q752" s="104">
        <v>-1.0359365656608048</v>
      </c>
      <c r="R752" s="96"/>
      <c r="Y752" s="88"/>
      <c r="Z752" s="88"/>
      <c r="AA752" s="88"/>
    </row>
    <row r="753" spans="14:27" x14ac:dyDescent="0.3">
      <c r="N753" s="104">
        <v>0</v>
      </c>
      <c r="O753" s="104">
        <f t="shared" si="12"/>
        <v>131.00716068462907</v>
      </c>
      <c r="P753" s="104">
        <v>1572.0859282155488</v>
      </c>
      <c r="Q753" s="104">
        <v>-1.035891331628136</v>
      </c>
      <c r="R753" s="96"/>
      <c r="Y753" s="88"/>
      <c r="Z753" s="88"/>
      <c r="AA753" s="88"/>
    </row>
    <row r="754" spans="14:27" x14ac:dyDescent="0.3">
      <c r="N754" s="104">
        <v>0</v>
      </c>
      <c r="O754" s="104">
        <f t="shared" si="12"/>
        <v>131.00733488462865</v>
      </c>
      <c r="P754" s="104">
        <v>1572.0880186155439</v>
      </c>
      <c r="Q754" s="104">
        <v>-1.0358687156091975</v>
      </c>
      <c r="R754" s="96"/>
      <c r="Y754" s="88"/>
      <c r="Z754" s="88"/>
      <c r="AA754" s="88"/>
    </row>
    <row r="755" spans="14:27" x14ac:dyDescent="0.3">
      <c r="N755" s="104">
        <v>0</v>
      </c>
      <c r="O755" s="104">
        <f t="shared" si="12"/>
        <v>131.94465162061445</v>
      </c>
      <c r="P755" s="104">
        <v>1583.3358194473735</v>
      </c>
      <c r="Q755" s="104">
        <v>-0.92335066084295647</v>
      </c>
      <c r="R755" s="96"/>
      <c r="Y755" s="88"/>
      <c r="Z755" s="88"/>
      <c r="AA755" s="88"/>
    </row>
    <row r="756" spans="14:27" x14ac:dyDescent="0.3">
      <c r="N756" s="104">
        <v>0</v>
      </c>
      <c r="O756" s="104">
        <f t="shared" si="12"/>
        <v>131.94482582061406</v>
      </c>
      <c r="P756" s="104">
        <v>1583.3379098473686</v>
      </c>
      <c r="Q756" s="104">
        <v>-0.92333139688666677</v>
      </c>
      <c r="R756" s="96"/>
      <c r="Y756" s="88"/>
      <c r="Z756" s="88"/>
      <c r="AA756" s="88"/>
    </row>
    <row r="757" spans="14:27" x14ac:dyDescent="0.3">
      <c r="N757" s="104">
        <v>0</v>
      </c>
      <c r="O757" s="104">
        <f t="shared" si="12"/>
        <v>131.94517422061321</v>
      </c>
      <c r="P757" s="104">
        <v>1583.3420906473586</v>
      </c>
      <c r="Q757" s="104">
        <v>-0.92329287072838895</v>
      </c>
      <c r="R757" s="96"/>
      <c r="Y757" s="88"/>
      <c r="Z757" s="88"/>
      <c r="AA757" s="88"/>
    </row>
    <row r="758" spans="14:27" x14ac:dyDescent="0.3">
      <c r="N758" s="104">
        <v>0</v>
      </c>
      <c r="O758" s="104">
        <f t="shared" si="12"/>
        <v>131.94534842061282</v>
      </c>
      <c r="P758" s="104">
        <v>1583.3441810473537</v>
      </c>
      <c r="Q758" s="104">
        <v>-0.92327360843579243</v>
      </c>
      <c r="R758" s="96"/>
      <c r="Y758" s="88"/>
      <c r="Z758" s="88"/>
      <c r="AA758" s="88"/>
    </row>
    <row r="759" spans="14:27" x14ac:dyDescent="0.3">
      <c r="N759" s="104">
        <v>0</v>
      </c>
      <c r="O759" s="104">
        <f t="shared" si="12"/>
        <v>132.88266515659862</v>
      </c>
      <c r="P759" s="104">
        <v>1594.5919818791833</v>
      </c>
      <c r="Q759" s="104">
        <v>-0.82787980915625781</v>
      </c>
      <c r="R759" s="96"/>
      <c r="Y759" s="88"/>
      <c r="Z759" s="88"/>
      <c r="AA759" s="88"/>
    </row>
    <row r="760" spans="14:27" x14ac:dyDescent="0.3">
      <c r="N760" s="104">
        <v>0</v>
      </c>
      <c r="O760" s="104">
        <f t="shared" si="12"/>
        <v>132.8828393565982</v>
      </c>
      <c r="P760" s="104">
        <v>1594.5940722791784</v>
      </c>
      <c r="Q760" s="104">
        <v>-0.82786355670211265</v>
      </c>
      <c r="R760" s="96"/>
      <c r="Y760" s="88"/>
      <c r="Z760" s="88"/>
      <c r="AA760" s="88"/>
    </row>
    <row r="761" spans="14:27" x14ac:dyDescent="0.3">
      <c r="N761" s="104">
        <v>0</v>
      </c>
      <c r="O761" s="104">
        <f t="shared" si="12"/>
        <v>132.88318775659738</v>
      </c>
      <c r="P761" s="104">
        <v>1594.5982530791684</v>
      </c>
      <c r="Q761" s="104">
        <v>-0.82783105274488378</v>
      </c>
      <c r="R761" s="96"/>
      <c r="Y761" s="88"/>
      <c r="Z761" s="88"/>
      <c r="AA761" s="88"/>
    </row>
    <row r="762" spans="14:27" x14ac:dyDescent="0.3">
      <c r="N762" s="104">
        <v>0</v>
      </c>
      <c r="O762" s="104">
        <f t="shared" si="12"/>
        <v>132.88336195659696</v>
      </c>
      <c r="P762" s="104">
        <v>1594.6003434791635</v>
      </c>
      <c r="Q762" s="104">
        <v>-0.82781480160026888</v>
      </c>
      <c r="R762" s="96"/>
      <c r="Y762" s="88"/>
      <c r="Z762" s="88"/>
      <c r="AA762" s="88"/>
    </row>
    <row r="763" spans="14:27" x14ac:dyDescent="0.3">
      <c r="N763" s="104">
        <v>0</v>
      </c>
      <c r="O763" s="104">
        <f t="shared" si="12"/>
        <v>133.52321690850371</v>
      </c>
      <c r="P763" s="104">
        <v>1602.2786029020444</v>
      </c>
      <c r="Q763" s="104">
        <v>-0.77158360572373397</v>
      </c>
      <c r="R763" s="96"/>
      <c r="Y763" s="88"/>
      <c r="Z763" s="88"/>
      <c r="AA763" s="88"/>
    </row>
    <row r="764" spans="14:27" x14ac:dyDescent="0.3">
      <c r="N764" s="104">
        <v>0</v>
      </c>
      <c r="O764" s="104">
        <f t="shared" si="12"/>
        <v>133.52339110850329</v>
      </c>
      <c r="P764" s="104">
        <v>1602.2806933020395</v>
      </c>
      <c r="Q764" s="104">
        <v>-0.77156921243970089</v>
      </c>
      <c r="R764" s="96"/>
      <c r="Y764" s="88"/>
      <c r="Z764" s="88"/>
      <c r="AA764" s="88"/>
    </row>
    <row r="765" spans="14:27" x14ac:dyDescent="0.3">
      <c r="N765" s="104">
        <v>0</v>
      </c>
      <c r="O765" s="104">
        <f t="shared" si="12"/>
        <v>133.52373950850247</v>
      </c>
      <c r="P765" s="104">
        <v>1602.2848741020296</v>
      </c>
      <c r="Q765" s="104">
        <v>-0.77154042715109483</v>
      </c>
      <c r="R765" s="96"/>
      <c r="Y765" s="88"/>
      <c r="Z765" s="88"/>
      <c r="AA765" s="88"/>
    </row>
    <row r="766" spans="14:27" x14ac:dyDescent="0.3">
      <c r="N766" s="104">
        <v>0</v>
      </c>
      <c r="O766" s="104">
        <f t="shared" si="12"/>
        <v>133.52391370850205</v>
      </c>
      <c r="P766" s="104">
        <v>1602.2869645020246</v>
      </c>
      <c r="Q766" s="104">
        <v>-0.77152603559292743</v>
      </c>
      <c r="R766" s="96"/>
      <c r="Y766" s="88"/>
      <c r="Z766" s="88"/>
      <c r="AA766" s="88"/>
    </row>
    <row r="767" spans="14:27" x14ac:dyDescent="0.3">
      <c r="N767" s="104">
        <v>0</v>
      </c>
      <c r="O767" s="104">
        <f t="shared" si="12"/>
        <v>133.8500863244798</v>
      </c>
      <c r="P767" s="104">
        <v>1606.2010358937578</v>
      </c>
      <c r="Q767" s="104">
        <v>-0.74541448444678338</v>
      </c>
      <c r="R767" s="96"/>
      <c r="Y767" s="88"/>
      <c r="Z767" s="88"/>
      <c r="AA767" s="88"/>
    </row>
    <row r="768" spans="14:27" x14ac:dyDescent="0.3">
      <c r="N768" s="104">
        <v>0</v>
      </c>
      <c r="O768" s="104">
        <f t="shared" si="12"/>
        <v>133.85026052447941</v>
      </c>
      <c r="P768" s="104">
        <v>1606.2031262937528</v>
      </c>
      <c r="Q768" s="104">
        <v>-0.74540097834531593</v>
      </c>
      <c r="R768" s="96"/>
      <c r="Y768" s="88"/>
      <c r="Z768" s="88"/>
      <c r="AA768" s="88"/>
    </row>
    <row r="769" spans="14:27" x14ac:dyDescent="0.3">
      <c r="N769" s="104">
        <v>0</v>
      </c>
      <c r="O769" s="104">
        <f t="shared" si="12"/>
        <v>133.85060892447856</v>
      </c>
      <c r="P769" s="104">
        <v>1606.2073070937429</v>
      </c>
      <c r="Q769" s="104">
        <v>-0.74537396771287945</v>
      </c>
      <c r="R769" s="96"/>
      <c r="Y769" s="88"/>
      <c r="Z769" s="88"/>
      <c r="AA769" s="88"/>
    </row>
    <row r="770" spans="14:27" x14ac:dyDescent="0.3">
      <c r="N770" s="104">
        <v>0</v>
      </c>
      <c r="O770" s="104">
        <f t="shared" si="12"/>
        <v>133.85078312447817</v>
      </c>
      <c r="P770" s="104">
        <v>1606.2093974937379</v>
      </c>
      <c r="Q770" s="104">
        <v>-0.74536046305622961</v>
      </c>
      <c r="R770" s="96"/>
      <c r="Y770" s="88"/>
      <c r="Z770" s="88"/>
      <c r="AA770" s="88"/>
    </row>
    <row r="771" spans="14:27" x14ac:dyDescent="0.3">
      <c r="N771" s="104">
        <v>0</v>
      </c>
      <c r="O771" s="104">
        <f t="shared" si="12"/>
        <v>134.4906380763849</v>
      </c>
      <c r="P771" s="104">
        <v>1613.8876569166189</v>
      </c>
      <c r="Q771" s="104">
        <v>-0.69877436539515259</v>
      </c>
      <c r="R771" s="96"/>
      <c r="Y771" s="88"/>
      <c r="Z771" s="88"/>
      <c r="AA771" s="88"/>
    </row>
    <row r="772" spans="14:27" x14ac:dyDescent="0.3">
      <c r="N772" s="104">
        <v>0</v>
      </c>
      <c r="O772" s="104">
        <f t="shared" si="12"/>
        <v>134.4908122763845</v>
      </c>
      <c r="P772" s="104">
        <v>1613.8897473166139</v>
      </c>
      <c r="Q772" s="104">
        <v>-0.6987624772902592</v>
      </c>
      <c r="R772" s="96"/>
      <c r="Y772" s="88"/>
      <c r="Z772" s="88"/>
      <c r="AA772" s="88"/>
    </row>
    <row r="773" spans="14:27" x14ac:dyDescent="0.3">
      <c r="N773" s="104">
        <v>0</v>
      </c>
      <c r="O773" s="104">
        <f t="shared" si="12"/>
        <v>134.49116067638366</v>
      </c>
      <c r="P773" s="104">
        <v>1613.893928116604</v>
      </c>
      <c r="Q773" s="104">
        <v>-0.69873870257440274</v>
      </c>
      <c r="R773" s="96"/>
      <c r="Y773" s="88"/>
      <c r="Z773" s="88"/>
      <c r="AA773" s="88"/>
    </row>
    <row r="774" spans="14:27" x14ac:dyDescent="0.3">
      <c r="N774" s="104">
        <v>0</v>
      </c>
      <c r="O774" s="104">
        <f t="shared" si="12"/>
        <v>134.49133487638326</v>
      </c>
      <c r="P774" s="104">
        <v>1613.896018516599</v>
      </c>
      <c r="Q774" s="104">
        <v>-0.69872681607614595</v>
      </c>
      <c r="R774" s="96"/>
      <c r="Y774" s="88"/>
      <c r="Z774" s="88"/>
      <c r="AA774" s="88"/>
    </row>
    <row r="775" spans="14:27" x14ac:dyDescent="0.3">
      <c r="N775" s="104">
        <v>0</v>
      </c>
      <c r="O775" s="104">
        <f t="shared" ref="O775:O808" si="13">P775/12</f>
        <v>135.42865161236907</v>
      </c>
      <c r="P775" s="104">
        <v>1625.1438193484287</v>
      </c>
      <c r="Q775" s="104">
        <v>-0.64051666305040555</v>
      </c>
      <c r="R775" s="96"/>
      <c r="Y775" s="88"/>
      <c r="Z775" s="88"/>
      <c r="AA775" s="88"/>
    </row>
    <row r="776" spans="14:27" x14ac:dyDescent="0.3">
      <c r="N776" s="104">
        <v>0</v>
      </c>
      <c r="O776" s="104">
        <f t="shared" si="13"/>
        <v>135.42882581236864</v>
      </c>
      <c r="P776" s="104">
        <v>1625.1459097484237</v>
      </c>
      <c r="Q776" s="104">
        <v>-0.64050685600939516</v>
      </c>
      <c r="R776" s="96"/>
      <c r="Y776" s="88"/>
      <c r="Z776" s="88"/>
      <c r="AA776" s="88"/>
    </row>
    <row r="777" spans="14:27" x14ac:dyDescent="0.3">
      <c r="N777" s="104">
        <v>0</v>
      </c>
      <c r="O777" s="104">
        <f t="shared" si="13"/>
        <v>135.42917421236783</v>
      </c>
      <c r="P777" s="104">
        <v>1625.1500905484138</v>
      </c>
      <c r="Q777" s="104">
        <v>-0.64048724318935513</v>
      </c>
      <c r="R777" s="96"/>
      <c r="Y777" s="88"/>
      <c r="Z777" s="88"/>
      <c r="AA777" s="88"/>
    </row>
    <row r="778" spans="14:27" x14ac:dyDescent="0.3">
      <c r="N778" s="104">
        <v>0</v>
      </c>
      <c r="O778" s="104">
        <f t="shared" si="13"/>
        <v>135.4293484123674</v>
      </c>
      <c r="P778" s="104">
        <v>1625.1521809484088</v>
      </c>
      <c r="Q778" s="104">
        <v>-0.64047743717473793</v>
      </c>
      <c r="R778" s="96"/>
      <c r="Y778" s="88"/>
      <c r="Z778" s="88"/>
      <c r="AA778" s="88"/>
    </row>
    <row r="779" spans="14:27" x14ac:dyDescent="0.3">
      <c r="N779" s="104">
        <v>0</v>
      </c>
      <c r="O779" s="104">
        <f t="shared" si="13"/>
        <v>136.36666514835321</v>
      </c>
      <c r="P779" s="104">
        <v>1636.3999817802385</v>
      </c>
      <c r="Q779" s="104">
        <v>-0.59254204002624533</v>
      </c>
      <c r="R779" s="96"/>
      <c r="Y779" s="88"/>
      <c r="Z779" s="88"/>
      <c r="AA779" s="88"/>
    </row>
    <row r="780" spans="14:27" x14ac:dyDescent="0.3">
      <c r="N780" s="104">
        <v>0</v>
      </c>
      <c r="O780" s="104">
        <f t="shared" si="13"/>
        <v>136.36683934835278</v>
      </c>
      <c r="P780" s="104">
        <v>1636.4020721802335</v>
      </c>
      <c r="Q780" s="104">
        <v>-0.59253397116475526</v>
      </c>
      <c r="R780" s="96"/>
      <c r="Y780" s="88"/>
      <c r="Z780" s="88"/>
      <c r="AA780" s="88"/>
    </row>
    <row r="781" spans="14:27" x14ac:dyDescent="0.3">
      <c r="N781" s="104">
        <v>0</v>
      </c>
      <c r="O781" s="104">
        <f t="shared" si="13"/>
        <v>136.36718774835197</v>
      </c>
      <c r="P781" s="104">
        <v>1636.4062529802236</v>
      </c>
      <c r="Q781" s="104">
        <v>-0.59251783491976084</v>
      </c>
      <c r="R781" s="96"/>
      <c r="Y781" s="88"/>
      <c r="Z781" s="88"/>
      <c r="AA781" s="88"/>
    </row>
    <row r="782" spans="14:27" x14ac:dyDescent="0.3">
      <c r="N782" s="104">
        <v>0</v>
      </c>
      <c r="O782" s="104">
        <f t="shared" si="13"/>
        <v>136.36736194835154</v>
      </c>
      <c r="P782" s="104">
        <v>1636.4083433802186</v>
      </c>
      <c r="Q782" s="104">
        <v>-0.59250976696381485</v>
      </c>
      <c r="R782" s="96"/>
      <c r="Y782" s="88"/>
      <c r="Z782" s="88"/>
      <c r="AA782" s="88"/>
    </row>
    <row r="783" spans="14:27" x14ac:dyDescent="0.3">
      <c r="N783" s="104">
        <v>0</v>
      </c>
      <c r="O783" s="104">
        <f t="shared" si="13"/>
        <v>137.0072169002583</v>
      </c>
      <c r="P783" s="104">
        <v>1644.0866028030996</v>
      </c>
      <c r="Q783" s="104">
        <v>-0.56474143583292857</v>
      </c>
      <c r="R783" s="96"/>
      <c r="Y783" s="88"/>
      <c r="Z783" s="88"/>
      <c r="AA783" s="88"/>
    </row>
    <row r="784" spans="14:27" x14ac:dyDescent="0.3">
      <c r="N784" s="104">
        <v>0</v>
      </c>
      <c r="O784" s="104">
        <f t="shared" si="13"/>
        <v>137.00739110025788</v>
      </c>
      <c r="P784" s="104">
        <v>1644.0886932030946</v>
      </c>
      <c r="Q784" s="104">
        <v>-0.56473435722759291</v>
      </c>
      <c r="R784" s="96"/>
      <c r="Y784" s="88"/>
      <c r="Z784" s="88"/>
      <c r="AA784" s="88"/>
    </row>
    <row r="785" spans="14:27" x14ac:dyDescent="0.3">
      <c r="N785" s="104">
        <v>0</v>
      </c>
      <c r="O785" s="104">
        <f t="shared" si="13"/>
        <v>137.00773950025706</v>
      </c>
      <c r="P785" s="104">
        <v>1644.0928740030847</v>
      </c>
      <c r="Q785" s="104">
        <v>-0.56472020080438767</v>
      </c>
      <c r="R785" s="96"/>
      <c r="Y785" s="88"/>
      <c r="Z785" s="88"/>
      <c r="AA785" s="88"/>
    </row>
    <row r="786" spans="14:27" x14ac:dyDescent="0.3">
      <c r="N786" s="104">
        <v>0</v>
      </c>
      <c r="O786" s="104">
        <f t="shared" si="13"/>
        <v>137.00791370025664</v>
      </c>
      <c r="P786" s="104">
        <v>1644.0949644030798</v>
      </c>
      <c r="Q786" s="104">
        <v>-0.56471312305070853</v>
      </c>
      <c r="R786" s="96"/>
      <c r="Y786" s="88"/>
      <c r="Z786" s="88"/>
      <c r="AA786" s="88"/>
    </row>
    <row r="787" spans="14:27" x14ac:dyDescent="0.3">
      <c r="N787" s="104">
        <v>0</v>
      </c>
      <c r="O787" s="104">
        <f t="shared" si="13"/>
        <v>137.33408631623436</v>
      </c>
      <c r="P787" s="104">
        <v>1648.0090357948125</v>
      </c>
      <c r="Q787" s="104">
        <v>-0.55188168064481147</v>
      </c>
      <c r="R787" s="96"/>
      <c r="Y787" s="88"/>
      <c r="Z787" s="88"/>
      <c r="AA787" s="88"/>
    </row>
    <row r="788" spans="14:27" x14ac:dyDescent="0.3">
      <c r="N788" s="104">
        <v>0</v>
      </c>
      <c r="O788" s="104">
        <f t="shared" si="13"/>
        <v>137.33426051623397</v>
      </c>
      <c r="P788" s="104">
        <v>1648.0111261948075</v>
      </c>
      <c r="Q788" s="104">
        <v>-0.55187504559798128</v>
      </c>
      <c r="R788" s="96"/>
      <c r="Y788" s="88"/>
      <c r="Z788" s="88"/>
      <c r="AA788" s="88"/>
    </row>
    <row r="789" spans="14:27" x14ac:dyDescent="0.3">
      <c r="N789" s="104">
        <v>0</v>
      </c>
      <c r="O789" s="104">
        <f t="shared" si="13"/>
        <v>137.33460891623312</v>
      </c>
      <c r="P789" s="104">
        <v>1648.0153069947976</v>
      </c>
      <c r="Q789" s="104">
        <v>-0.55186177641193979</v>
      </c>
      <c r="R789" s="96"/>
      <c r="Y789" s="88"/>
      <c r="Z789" s="88"/>
      <c r="AA789" s="88"/>
    </row>
    <row r="790" spans="14:27" x14ac:dyDescent="0.3">
      <c r="N790" s="104">
        <v>0</v>
      </c>
      <c r="O790" s="104">
        <f t="shared" si="13"/>
        <v>137.33478311623273</v>
      </c>
      <c r="P790" s="104">
        <v>1648.0173973947926</v>
      </c>
      <c r="Q790" s="104">
        <v>-0.55185514234416644</v>
      </c>
      <c r="R790" s="96"/>
      <c r="Y790" s="88"/>
      <c r="Z790" s="88"/>
      <c r="AA790" s="88"/>
    </row>
    <row r="791" spans="14:27" x14ac:dyDescent="0.3">
      <c r="N791" s="104">
        <v>0</v>
      </c>
      <c r="O791" s="104">
        <f t="shared" si="13"/>
        <v>137.97463806813946</v>
      </c>
      <c r="P791" s="104">
        <v>1655.6956568176736</v>
      </c>
      <c r="Q791" s="104">
        <v>-0.5289095303316742</v>
      </c>
      <c r="R791" s="96"/>
      <c r="Y791" s="88"/>
      <c r="Z791" s="88"/>
      <c r="AA791" s="88"/>
    </row>
    <row r="792" spans="14:27" x14ac:dyDescent="0.3">
      <c r="N792" s="104">
        <v>0</v>
      </c>
      <c r="O792" s="104">
        <f t="shared" si="13"/>
        <v>137.97481226813906</v>
      </c>
      <c r="P792" s="104">
        <v>1655.6977472176686</v>
      </c>
      <c r="Q792" s="104">
        <v>-0.52890364416650471</v>
      </c>
      <c r="R792" s="96"/>
      <c r="Y792" s="88"/>
      <c r="Z792" s="88"/>
      <c r="AA792" s="88"/>
    </row>
    <row r="793" spans="14:27" x14ac:dyDescent="0.3">
      <c r="N793" s="104">
        <v>0</v>
      </c>
      <c r="O793" s="104">
        <f t="shared" si="13"/>
        <v>137.97516066813822</v>
      </c>
      <c r="P793" s="104">
        <v>1655.7019280176587</v>
      </c>
      <c r="Q793" s="104">
        <v>-0.52889187227775381</v>
      </c>
      <c r="R793" s="96"/>
      <c r="Y793" s="88"/>
      <c r="Z793" s="88"/>
      <c r="AA793" s="88"/>
    </row>
    <row r="794" spans="14:27" x14ac:dyDescent="0.3">
      <c r="N794" s="104">
        <v>0</v>
      </c>
      <c r="O794" s="104">
        <f t="shared" si="13"/>
        <v>137.97533486813782</v>
      </c>
      <c r="P794" s="104">
        <v>1655.7040184176537</v>
      </c>
      <c r="Q794" s="104">
        <v>-0.52888598676150878</v>
      </c>
      <c r="R794" s="96"/>
      <c r="Y794" s="88"/>
      <c r="Z794" s="88"/>
      <c r="AA794" s="88"/>
    </row>
    <row r="795" spans="14:27" x14ac:dyDescent="0.3">
      <c r="N795" s="104">
        <v>0</v>
      </c>
      <c r="O795" s="104">
        <f t="shared" si="13"/>
        <v>138.91265160412362</v>
      </c>
      <c r="P795" s="104">
        <v>1666.9518192494834</v>
      </c>
      <c r="Q795" s="104">
        <v>-0.49954306785744507</v>
      </c>
      <c r="R795" s="96"/>
      <c r="Y795" s="88"/>
      <c r="Z795" s="88"/>
      <c r="AA795" s="88"/>
    </row>
    <row r="796" spans="14:27" x14ac:dyDescent="0.3">
      <c r="N796" s="104">
        <v>0</v>
      </c>
      <c r="O796" s="104">
        <f t="shared" si="13"/>
        <v>138.9128258041232</v>
      </c>
      <c r="P796" s="104">
        <v>1666.9539096494784</v>
      </c>
      <c r="Q796" s="104">
        <v>-0.49953798967968055</v>
      </c>
      <c r="R796" s="96"/>
      <c r="Y796" s="88"/>
      <c r="Z796" s="88"/>
      <c r="AA796" s="88"/>
    </row>
    <row r="797" spans="14:27" x14ac:dyDescent="0.3">
      <c r="N797" s="104">
        <v>0</v>
      </c>
      <c r="O797" s="104">
        <f t="shared" si="13"/>
        <v>138.91317420412238</v>
      </c>
      <c r="P797" s="104">
        <v>1666.9580904494685</v>
      </c>
      <c r="Q797" s="104">
        <v>-0.49952783380118149</v>
      </c>
      <c r="R797" s="96"/>
      <c r="Y797" s="88"/>
      <c r="Z797" s="88"/>
      <c r="AA797" s="88"/>
    </row>
    <row r="798" spans="14:27" x14ac:dyDescent="0.3">
      <c r="N798" s="104">
        <v>0</v>
      </c>
      <c r="O798" s="104">
        <f t="shared" si="13"/>
        <v>138.91334840412196</v>
      </c>
      <c r="P798" s="104">
        <v>1666.9601808494635</v>
      </c>
      <c r="Q798" s="104">
        <v>-0.49952275582498373</v>
      </c>
      <c r="R798" s="96"/>
      <c r="Y798" s="88"/>
      <c r="Z798" s="88"/>
      <c r="AA798" s="88"/>
    </row>
    <row r="799" spans="14:27" x14ac:dyDescent="0.3">
      <c r="N799" s="104">
        <v>0</v>
      </c>
      <c r="O799" s="104">
        <f t="shared" si="13"/>
        <v>139.85066514010776</v>
      </c>
      <c r="P799" s="104">
        <v>1678.2079816812932</v>
      </c>
      <c r="Q799" s="104">
        <v>-0.47360507001894803</v>
      </c>
      <c r="R799" s="96"/>
      <c r="Y799" s="88"/>
      <c r="Z799" s="88"/>
      <c r="AA799" s="88"/>
    </row>
    <row r="800" spans="14:27" x14ac:dyDescent="0.3">
      <c r="N800" s="104">
        <v>0</v>
      </c>
      <c r="O800" s="104">
        <f t="shared" si="13"/>
        <v>139.85083934010734</v>
      </c>
      <c r="P800" s="104">
        <v>1678.2100720812882</v>
      </c>
      <c r="Q800" s="104">
        <v>-0.47360045696433417</v>
      </c>
      <c r="R800" s="96"/>
      <c r="Y800" s="88"/>
      <c r="Z800" s="88"/>
      <c r="AA800" s="88"/>
    </row>
    <row r="801" spans="14:27" x14ac:dyDescent="0.3">
      <c r="N801" s="104">
        <v>0</v>
      </c>
      <c r="O801" s="104">
        <f t="shared" si="13"/>
        <v>139.85118774010652</v>
      </c>
      <c r="P801" s="104">
        <v>1678.2142528812783</v>
      </c>
      <c r="Q801" s="104">
        <v>-0.47359123149519178</v>
      </c>
      <c r="R801" s="96"/>
      <c r="Y801" s="88"/>
      <c r="Z801" s="88"/>
      <c r="AA801" s="88"/>
    </row>
    <row r="802" spans="14:27" x14ac:dyDescent="0.3">
      <c r="N802" s="104">
        <v>0</v>
      </c>
      <c r="O802" s="104">
        <f t="shared" si="13"/>
        <v>139.8513619401061</v>
      </c>
      <c r="P802" s="104">
        <v>1678.2163432812733</v>
      </c>
      <c r="Q802" s="104">
        <v>-0.47358661881867192</v>
      </c>
      <c r="R802" s="96"/>
      <c r="Y802" s="88"/>
      <c r="Z802" s="88"/>
      <c r="AA802" s="88"/>
    </row>
    <row r="803" spans="14:27" x14ac:dyDescent="0.3">
      <c r="N803" s="104">
        <v>0</v>
      </c>
      <c r="O803" s="104">
        <f t="shared" si="13"/>
        <v>140.49121689201286</v>
      </c>
      <c r="P803" s="104">
        <v>1685.8946027041543</v>
      </c>
      <c r="Q803" s="104">
        <v>-0.45691417122856137</v>
      </c>
      <c r="R803" s="96"/>
      <c r="Y803" s="88"/>
      <c r="Z803" s="88"/>
      <c r="AA803" s="88"/>
    </row>
    <row r="804" spans="14:27" x14ac:dyDescent="0.3">
      <c r="N804" s="104">
        <v>0</v>
      </c>
      <c r="O804" s="104">
        <f t="shared" si="13"/>
        <v>140.49139109201244</v>
      </c>
      <c r="P804" s="104">
        <v>1685.8966931041493</v>
      </c>
      <c r="Q804" s="104">
        <v>-0.45690967946123351</v>
      </c>
      <c r="R804" s="96"/>
      <c r="Y804" s="88"/>
      <c r="Z804" s="88"/>
      <c r="AA804" s="88"/>
    </row>
    <row r="805" spans="14:27" x14ac:dyDescent="0.3">
      <c r="N805" s="104">
        <v>0</v>
      </c>
      <c r="O805" s="104">
        <f t="shared" si="13"/>
        <v>140.49173949201162</v>
      </c>
      <c r="P805" s="104">
        <v>1685.9008739041394</v>
      </c>
      <c r="Q805" s="104">
        <v>-0.4569006951537915</v>
      </c>
      <c r="R805" s="96"/>
      <c r="Y805" s="88"/>
      <c r="Z805" s="88"/>
      <c r="AA805" s="88"/>
    </row>
    <row r="806" spans="14:27" x14ac:dyDescent="0.3">
      <c r="N806" s="104">
        <v>0</v>
      </c>
      <c r="O806" s="104">
        <f t="shared" si="13"/>
        <v>140.655</v>
      </c>
      <c r="P806" s="104">
        <v>1687.8600000000001</v>
      </c>
      <c r="Q806" s="104">
        <v>0</v>
      </c>
      <c r="R806" s="96"/>
      <c r="Y806" s="88"/>
      <c r="Z806" s="88"/>
      <c r="AA806" s="88"/>
    </row>
    <row r="807" spans="14:27" x14ac:dyDescent="0.3">
      <c r="N807" s="104">
        <v>0</v>
      </c>
      <c r="O807" s="104">
        <f t="shared" si="13"/>
        <v>0</v>
      </c>
      <c r="R807" s="96"/>
      <c r="Y807" s="88"/>
      <c r="Z807" s="88"/>
      <c r="AA807" s="88"/>
    </row>
    <row r="808" spans="14:27" x14ac:dyDescent="0.3">
      <c r="N808" s="104">
        <v>0</v>
      </c>
      <c r="O808" s="104">
        <f t="shared" si="13"/>
        <v>0</v>
      </c>
      <c r="R808" s="96"/>
      <c r="Y808" s="88"/>
      <c r="Z808" s="88"/>
      <c r="AA808" s="88"/>
    </row>
    <row r="809" spans="14:27" x14ac:dyDescent="0.3">
      <c r="N809" s="104">
        <v>0</v>
      </c>
      <c r="O809" s="104">
        <v>0</v>
      </c>
      <c r="R809" s="96"/>
      <c r="Y809" s="88"/>
      <c r="Z809" s="88"/>
      <c r="AA809" s="88"/>
    </row>
    <row r="810" spans="14:27" x14ac:dyDescent="0.3">
      <c r="N810" s="104">
        <v>0</v>
      </c>
      <c r="O810" s="104">
        <v>0</v>
      </c>
      <c r="Y810" s="88"/>
      <c r="Z810" s="88"/>
      <c r="AA810" s="88"/>
    </row>
    <row r="811" spans="14:27" x14ac:dyDescent="0.3">
      <c r="N811" s="104">
        <v>0</v>
      </c>
      <c r="O811" s="104">
        <v>0</v>
      </c>
      <c r="Y811" s="88"/>
      <c r="Z811" s="88"/>
      <c r="AA811" s="88"/>
    </row>
    <row r="812" spans="14:27" x14ac:dyDescent="0.3">
      <c r="Y812" s="88"/>
      <c r="Z812" s="88"/>
      <c r="AA812" s="88"/>
    </row>
  </sheetData>
  <pageMargins left="0.7" right="0.7" top="0.75" bottom="0.75" header="0.3" footer="0.3"/>
  <pageSetup scale="71" firstPageNumber="6" orientation="portrait" useFirstPageNumber="1" r:id="rId1"/>
  <headerFooter>
    <oddHeader>&amp;R&amp;D</oddHeader>
    <oddFooter>&amp;CPage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173</vt:i4>
      </vt:variant>
    </vt:vector>
  </HeadingPairs>
  <TitlesOfParts>
    <vt:vector size="178" baseType="lpstr">
      <vt:lpstr>About</vt:lpstr>
      <vt:lpstr>Girder Input</vt:lpstr>
      <vt:lpstr>C.G. &amp; Ideal Lift</vt:lpstr>
      <vt:lpstr>Calculated Behavior</vt:lpstr>
      <vt:lpstr>Graphs</vt:lpstr>
      <vt:lpstr>BFLT1</vt:lpstr>
      <vt:lpstr>BFLT2</vt:lpstr>
      <vt:lpstr>BFLT3</vt:lpstr>
      <vt:lpstr>BFLT4</vt:lpstr>
      <vt:lpstr>BFLT5</vt:lpstr>
      <vt:lpstr>BFLT6</vt:lpstr>
      <vt:lpstr>BFLT7</vt:lpstr>
      <vt:lpstr>BFLT8</vt:lpstr>
      <vt:lpstr>BFLW1</vt:lpstr>
      <vt:lpstr>BFLW2</vt:lpstr>
      <vt:lpstr>BFLW3</vt:lpstr>
      <vt:lpstr>BFLW4</vt:lpstr>
      <vt:lpstr>BFLW5</vt:lpstr>
      <vt:lpstr>BFLW6</vt:lpstr>
      <vt:lpstr>BFLW7</vt:lpstr>
      <vt:lpstr>BFLW8</vt:lpstr>
      <vt:lpstr>DEPTH1</vt:lpstr>
      <vt:lpstr>DEPTH2</vt:lpstr>
      <vt:lpstr>DEPTH3</vt:lpstr>
      <vt:lpstr>DEPTH4</vt:lpstr>
      <vt:lpstr>DEPTH5</vt:lpstr>
      <vt:lpstr>DEPTH6</vt:lpstr>
      <vt:lpstr>DEPTH7</vt:lpstr>
      <vt:lpstr>DEPTH8</vt:lpstr>
      <vt:lpstr>GirderName</vt:lpstr>
      <vt:lpstr>InOut1</vt:lpstr>
      <vt:lpstr>InOut10</vt:lpstr>
      <vt:lpstr>InOut11</vt:lpstr>
      <vt:lpstr>InOut12</vt:lpstr>
      <vt:lpstr>InOut13</vt:lpstr>
      <vt:lpstr>InOut14</vt:lpstr>
      <vt:lpstr>InOut15</vt:lpstr>
      <vt:lpstr>InOut16</vt:lpstr>
      <vt:lpstr>InOut17</vt:lpstr>
      <vt:lpstr>InOut18</vt:lpstr>
      <vt:lpstr>InOut2</vt:lpstr>
      <vt:lpstr>InOut3</vt:lpstr>
      <vt:lpstr>InOut4</vt:lpstr>
      <vt:lpstr>InOut5</vt:lpstr>
      <vt:lpstr>InOut6</vt:lpstr>
      <vt:lpstr>InOut7</vt:lpstr>
      <vt:lpstr>InOut8</vt:lpstr>
      <vt:lpstr>InOut9</vt:lpstr>
      <vt:lpstr>LengthXF1</vt:lpstr>
      <vt:lpstr>LengthXF10</vt:lpstr>
      <vt:lpstr>LengthXF11</vt:lpstr>
      <vt:lpstr>LengthXF12</vt:lpstr>
      <vt:lpstr>LengthXF13</vt:lpstr>
      <vt:lpstr>LengthXF14</vt:lpstr>
      <vt:lpstr>LengthXF15</vt:lpstr>
      <vt:lpstr>LengthXF16</vt:lpstr>
      <vt:lpstr>LengthXF17</vt:lpstr>
      <vt:lpstr>LengthXF18</vt:lpstr>
      <vt:lpstr>LengthXF2</vt:lpstr>
      <vt:lpstr>LengthXF3</vt:lpstr>
      <vt:lpstr>LengthXF4</vt:lpstr>
      <vt:lpstr>LengthXF5</vt:lpstr>
      <vt:lpstr>LengthXF6</vt:lpstr>
      <vt:lpstr>LengthXF7</vt:lpstr>
      <vt:lpstr>LengthXF8</vt:lpstr>
      <vt:lpstr>LengthXF9</vt:lpstr>
      <vt:lpstr>NumSections</vt:lpstr>
      <vt:lpstr>NumXFrames</vt:lpstr>
      <vt:lpstr>'Girder Input'!OLE_LINK1</vt:lpstr>
      <vt:lpstr>'Calculated Behavior'!Print_Area</vt:lpstr>
      <vt:lpstr>'Girder Input'!Print_Area</vt:lpstr>
      <vt:lpstr>Graphs!Print_Area</vt:lpstr>
      <vt:lpstr>ProjectName</vt:lpstr>
      <vt:lpstr>Radius</vt:lpstr>
      <vt:lpstr>RotationDeg</vt:lpstr>
      <vt:lpstr>RotationRad</vt:lpstr>
      <vt:lpstr>ScaleFactor</vt:lpstr>
      <vt:lpstr>SectionLength1</vt:lpstr>
      <vt:lpstr>SectionLength2</vt:lpstr>
      <vt:lpstr>SectionLength3</vt:lpstr>
      <vt:lpstr>SectionLength4</vt:lpstr>
      <vt:lpstr>SectionLength5</vt:lpstr>
      <vt:lpstr>SectionLength6</vt:lpstr>
      <vt:lpstr>SectionLength7</vt:lpstr>
      <vt:lpstr>SectionLength8</vt:lpstr>
      <vt:lpstr>TFLT1</vt:lpstr>
      <vt:lpstr>TFLT2</vt:lpstr>
      <vt:lpstr>TFLT3</vt:lpstr>
      <vt:lpstr>TFLT4</vt:lpstr>
      <vt:lpstr>TFLT5</vt:lpstr>
      <vt:lpstr>TFLT6</vt:lpstr>
      <vt:lpstr>TFLT7</vt:lpstr>
      <vt:lpstr>TFLT8</vt:lpstr>
      <vt:lpstr>TFLW1</vt:lpstr>
      <vt:lpstr>TFLW2</vt:lpstr>
      <vt:lpstr>TFLW3</vt:lpstr>
      <vt:lpstr>TFLW4</vt:lpstr>
      <vt:lpstr>TFLW5</vt:lpstr>
      <vt:lpstr>TFLW6</vt:lpstr>
      <vt:lpstr>TFLW7</vt:lpstr>
      <vt:lpstr>TFLW8</vt:lpstr>
      <vt:lpstr>Theta1</vt:lpstr>
      <vt:lpstr>Theta2</vt:lpstr>
      <vt:lpstr>Theta3</vt:lpstr>
      <vt:lpstr>Theta4</vt:lpstr>
      <vt:lpstr>Theta5</vt:lpstr>
      <vt:lpstr>Theta6</vt:lpstr>
      <vt:lpstr>Theta7</vt:lpstr>
      <vt:lpstr>Theta8</vt:lpstr>
      <vt:lpstr>ThetaXF1</vt:lpstr>
      <vt:lpstr>ThetaXF10</vt:lpstr>
      <vt:lpstr>ThetaXF11</vt:lpstr>
      <vt:lpstr>ThetaXF12</vt:lpstr>
      <vt:lpstr>ThetaXF13</vt:lpstr>
      <vt:lpstr>ThetaXF14</vt:lpstr>
      <vt:lpstr>ThetaXF15</vt:lpstr>
      <vt:lpstr>ThetaXF16</vt:lpstr>
      <vt:lpstr>ThetaXF17</vt:lpstr>
      <vt:lpstr>ThetaXF18</vt:lpstr>
      <vt:lpstr>ThetaXF2</vt:lpstr>
      <vt:lpstr>ThetaXF3</vt:lpstr>
      <vt:lpstr>ThetaXF4</vt:lpstr>
      <vt:lpstr>ThetaXF5</vt:lpstr>
      <vt:lpstr>ThetaXF6</vt:lpstr>
      <vt:lpstr>ThetaXF7</vt:lpstr>
      <vt:lpstr>ThetaXF8</vt:lpstr>
      <vt:lpstr>ThetaXF9</vt:lpstr>
      <vt:lpstr>Torsion1</vt:lpstr>
      <vt:lpstr>Torsion2</vt:lpstr>
      <vt:lpstr>Torsion3</vt:lpstr>
      <vt:lpstr>Torsion4</vt:lpstr>
      <vt:lpstr>Torsion5</vt:lpstr>
      <vt:lpstr>Torsion6</vt:lpstr>
      <vt:lpstr>Torsion7</vt:lpstr>
      <vt:lpstr>Torsion8</vt:lpstr>
      <vt:lpstr>Warping1</vt:lpstr>
      <vt:lpstr>Warping2</vt:lpstr>
      <vt:lpstr>Warping3</vt:lpstr>
      <vt:lpstr>Warping4</vt:lpstr>
      <vt:lpstr>Warping5</vt:lpstr>
      <vt:lpstr>Warping6</vt:lpstr>
      <vt:lpstr>Warping7</vt:lpstr>
      <vt:lpstr>Warping8</vt:lpstr>
      <vt:lpstr>WEBT1</vt:lpstr>
      <vt:lpstr>WEBT2</vt:lpstr>
      <vt:lpstr>WEBT3</vt:lpstr>
      <vt:lpstr>WEBT4</vt:lpstr>
      <vt:lpstr>WEBT5</vt:lpstr>
      <vt:lpstr>WEBT6</vt:lpstr>
      <vt:lpstr>WEBT7</vt:lpstr>
      <vt:lpstr>WEBT8</vt:lpstr>
      <vt:lpstr>Weight1</vt:lpstr>
      <vt:lpstr>Weight2</vt:lpstr>
      <vt:lpstr>Weight3</vt:lpstr>
      <vt:lpstr>Weight4</vt:lpstr>
      <vt:lpstr>Weight5</vt:lpstr>
      <vt:lpstr>Weight6</vt:lpstr>
      <vt:lpstr>Weight7</vt:lpstr>
      <vt:lpstr>Weight8</vt:lpstr>
      <vt:lpstr>WeightXF1</vt:lpstr>
      <vt:lpstr>WeightXF10</vt:lpstr>
      <vt:lpstr>WeightXF11</vt:lpstr>
      <vt:lpstr>WeightXF12</vt:lpstr>
      <vt:lpstr>WeightXF13</vt:lpstr>
      <vt:lpstr>WeightXF14</vt:lpstr>
      <vt:lpstr>WeightXF15</vt:lpstr>
      <vt:lpstr>WeightXF16</vt:lpstr>
      <vt:lpstr>WeightXF17</vt:lpstr>
      <vt:lpstr>WeightXF18</vt:lpstr>
      <vt:lpstr>WeightXF2</vt:lpstr>
      <vt:lpstr>WeightXF3</vt:lpstr>
      <vt:lpstr>WeightXF4</vt:lpstr>
      <vt:lpstr>WeightXF5</vt:lpstr>
      <vt:lpstr>WeightXF6</vt:lpstr>
      <vt:lpstr>WeightXF7</vt:lpstr>
      <vt:lpstr>WeightXF8</vt:lpstr>
      <vt:lpstr>WeightXF9</vt:lpstr>
      <vt:lpstr>XFrameSpacing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c:creator>
  <cp:lastModifiedBy>Lynes, Will</cp:lastModifiedBy>
  <cp:lastPrinted>2013-10-24T14:28:11Z</cp:lastPrinted>
  <dcterms:created xsi:type="dcterms:W3CDTF">2008-08-15T18:45:03Z</dcterms:created>
  <dcterms:modified xsi:type="dcterms:W3CDTF">2022-12-30T20:12:14Z</dcterms:modified>
</cp:coreProperties>
</file>