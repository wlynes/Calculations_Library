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ighnet0-my.sharepoint.com/personal/wlynes_high_net/Documents/Calculators/"/>
    </mc:Choice>
  </mc:AlternateContent>
  <xr:revisionPtr revIDLastSave="61" documentId="8_{A176E6DC-AEDE-4290-BBC4-F077C522ECB6}" xr6:coauthVersionLast="47" xr6:coauthVersionMax="47" xr10:uidLastSave="{1948D5FA-7FB2-47CA-B5C9-183F81A96C60}"/>
  <bookViews>
    <workbookView xWindow="28680" yWindow="-120" windowWidth="29040" windowHeight="15840" activeTab="1" xr2:uid="{A94994C5-5A8B-4E5A-AE06-89C2DEB94A5F}"/>
  </bookViews>
  <sheets>
    <sheet name="Instructions" sheetId="2" r:id="rId1"/>
    <sheet name="Sheet1" sheetId="1" r:id="rId2"/>
  </sheets>
  <functionGroups builtInGroupCount="19"/>
  <externalReferences>
    <externalReference r:id="rId3"/>
  </externalReferences>
  <definedNames>
    <definedName name="A">Sheet1!$L$4</definedName>
    <definedName name="L">Sheet1!$L$5</definedName>
    <definedName name="Rad">Sheet1!$L$6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7" i="1" l="1"/>
  <c r="T27" i="1"/>
  <c r="S28" i="1"/>
  <c r="T28" i="1"/>
  <c r="S29" i="1"/>
  <c r="T29" i="1"/>
  <c r="T26" i="1" l="1"/>
  <c r="S26" i="1"/>
  <c r="H33" i="1" l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26" i="1" a="1"/>
  <c r="G26" i="1" s="1"/>
  <c r="E27" i="1" a="1"/>
  <c r="E27" i="1" s="1"/>
  <c r="H27" i="1" s="1"/>
  <c r="E28" i="1" a="1"/>
  <c r="E28" i="1" s="1"/>
  <c r="E29" i="1" a="1"/>
  <c r="E29" i="1" s="1"/>
  <c r="H29" i="1" s="1"/>
  <c r="E30" i="1" a="1"/>
  <c r="E30" i="1" s="1"/>
  <c r="H30" i="1" s="1"/>
  <c r="E31" i="1" a="1"/>
  <c r="E31" i="1" s="1"/>
  <c r="H31" i="1" s="1"/>
  <c r="E32" i="1" a="1"/>
  <c r="E32" i="1" s="1"/>
  <c r="H32" i="1" s="1"/>
  <c r="E33" i="1" a="1"/>
  <c r="E33" i="1" s="1"/>
  <c r="E26" i="1" a="1"/>
  <c r="E26" i="1" s="1"/>
  <c r="H26" i="1" s="1"/>
  <c r="L9" i="1"/>
  <c r="C38" i="2" a="1"/>
  <c r="C35" i="2" a="1"/>
  <c r="C20" i="2" a="1"/>
  <c r="C15" i="2" a="1"/>
  <c r="C19" i="2" a="1"/>
  <c r="C17" i="2" a="1"/>
  <c r="C16" i="2" a="1"/>
  <c r="C40" i="2" a="1"/>
  <c r="L10" i="1" a="1"/>
  <c r="C39" i="2" a="1"/>
  <c r="C37" i="2" a="1"/>
  <c r="C36" i="2" a="1"/>
  <c r="C18" i="2" a="1"/>
  <c r="D40" i="2"/>
  <c r="D15" i="2"/>
  <c r="D35" i="2"/>
  <c r="D38" i="2"/>
  <c r="D36" i="2"/>
  <c r="D18" i="2"/>
  <c r="D17" i="2"/>
  <c r="D37" i="2"/>
  <c r="D20" i="2"/>
  <c r="D16" i="2"/>
  <c r="D39" i="2"/>
  <c r="D19" i="2"/>
  <c r="H28" i="1" l="1"/>
  <c r="L10" i="1"/>
  <c r="C40" i="2"/>
  <c r="C39" i="2"/>
  <c r="C38" i="2"/>
  <c r="C37" i="2"/>
  <c r="C36" i="2"/>
  <c r="C35" i="2"/>
  <c r="C20" i="2"/>
  <c r="C19" i="2"/>
  <c r="C18" i="2"/>
  <c r="C17" i="2"/>
  <c r="C16" i="2"/>
  <c r="C1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<sst xmlns="http://schemas.openxmlformats.org/spreadsheetml/2006/main" count="50" uniqueCount="42">
  <si>
    <t>This macro-enabled workbook contains the HSS "Feet and Inches" custom function.</t>
  </si>
  <si>
    <t>Consider the following dimension (in decimal feet)</t>
  </si>
  <si>
    <t>ft</t>
  </si>
  <si>
    <t>=FeetAndInches(Feet Decimal Input, Precision, Number Format)</t>
  </si>
  <si>
    <t>Precision -- Only powers of '2' are allowed</t>
  </si>
  <si>
    <t>Number Format</t>
  </si>
  <si>
    <t>Feet and inches and fraction (if no feet, inches only)</t>
  </si>
  <si>
    <t>Feet and inches fraction</t>
  </si>
  <si>
    <t>Inches and Fraction Only</t>
  </si>
  <si>
    <t>Note:  Don't use 3 or 4 when the input is in feet</t>
  </si>
  <si>
    <t>Examples</t>
  </si>
  <si>
    <t>Consider the following dimension (in decimal inches)</t>
  </si>
  <si>
    <t>Inches fraction only</t>
  </si>
  <si>
    <t>Note:  Don't use 0 thru 3 when the input is in inches</t>
  </si>
  <si>
    <t>=FeetAndInches(Inches Decimal Input, Precision, Number Format)</t>
  </si>
  <si>
    <t>A =</t>
  </si>
  <si>
    <t>R =</t>
  </si>
  <si>
    <t>Input</t>
  </si>
  <si>
    <t>L =</t>
  </si>
  <si>
    <t>Output</t>
  </si>
  <si>
    <t>B1 =</t>
  </si>
  <si>
    <t>Calculate distance B1 with a given spreader beam length for UT Lift</t>
  </si>
  <si>
    <t>G1F</t>
  </si>
  <si>
    <t>G2F</t>
  </si>
  <si>
    <t>G3F</t>
  </si>
  <si>
    <t>G4F</t>
  </si>
  <si>
    <t>G1G</t>
  </si>
  <si>
    <t>G2G</t>
  </si>
  <si>
    <t>G3G</t>
  </si>
  <si>
    <t>G4G</t>
  </si>
  <si>
    <t>A</t>
  </si>
  <si>
    <t>L</t>
  </si>
  <si>
    <t>R</t>
  </si>
  <si>
    <t>B1</t>
  </si>
  <si>
    <t>Ideal SB</t>
  </si>
  <si>
    <t>Orig Twist</t>
  </si>
  <si>
    <t>Orig Stress</t>
  </si>
  <si>
    <t>New Twist</t>
  </si>
  <si>
    <t>New Stress</t>
  </si>
  <si>
    <t>B1 act</t>
  </si>
  <si>
    <t>Orig Twist SF</t>
  </si>
  <si>
    <t>New Twist 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</si>
</sst>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3594"/>
      <name val="Calibri"/>
      <family val="2"/>
      <scheme val="minor"/>
    </font>
    <font>
      <b/>
      <sz val="11"/>
      <color rgb="FFFFB81C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B81C"/>
        <bgColor indexed="64"/>
      </patternFill>
    </fill>
    <fill>
      <patternFill patternType="solid">
        <fgColor rgb="FF00359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  <xf numFmtId="0" fontId="3" fillId="2" borderId="0" xfId="0" applyFont="1" applyFill="1" applyAlignment="1">
      <alignment horizontal="center"/>
    </xf>
    <xf numFmtId="0" fontId="4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B81C"/>
      <color rgb="FF0035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142875</xdr:colOff>
      <xdr:row>20</xdr:row>
      <xdr:rowOff>30720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BBA5412-0D41-4F02-17ED-D03B3530F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019675" cy="38407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wlynes_high_net/Documents/Projects/1200002-02%20Ramp%20HWN%20over%20I-95/Calcs/UT%20Lift/Current/Framing%20Plan%20Inf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irder Flange and Web Schedule"/>
      <sheetName val="Framing Plan Info"/>
    </sheetNames>
    <definedNames>
      <definedName name="GirderID" refersTo="='Girder Flange and Web Schedule'!$A$3:$A$30"/>
      <definedName name="Length" refersTo="='Girder Flange and Web Schedule'!$D$3:$D$30"/>
      <definedName name="Radius" refersTo="='Girder Flange and Web Schedule'!$E$3:$E$30"/>
    </definedNames>
    <sheetDataSet>
      <sheetData sheetId="0">
        <row r="3">
          <cell r="A3" t="str">
            <v>G1A</v>
          </cell>
          <cell r="D3">
            <v>79.75</v>
          </cell>
          <cell r="E3">
            <v>955.25</v>
          </cell>
        </row>
        <row r="4">
          <cell r="A4" t="str">
            <v>G1B</v>
          </cell>
          <cell r="D4">
            <v>82.026041666666671</v>
          </cell>
          <cell r="E4">
            <v>955.25</v>
          </cell>
        </row>
        <row r="5">
          <cell r="A5" t="str">
            <v>G1C</v>
          </cell>
          <cell r="D5">
            <v>106.66666666666667</v>
          </cell>
          <cell r="E5">
            <v>955.25</v>
          </cell>
        </row>
        <row r="6">
          <cell r="A6" t="str">
            <v>G1D</v>
          </cell>
          <cell r="D6">
            <v>102.00520833333333</v>
          </cell>
          <cell r="E6">
            <v>712.75</v>
          </cell>
        </row>
        <row r="7">
          <cell r="A7" t="str">
            <v>G1E</v>
          </cell>
          <cell r="D7">
            <v>92.697916666666671</v>
          </cell>
          <cell r="E7">
            <v>712.75</v>
          </cell>
        </row>
        <row r="8">
          <cell r="A8" t="str">
            <v>G1F</v>
          </cell>
          <cell r="D8">
            <v>84.041666666666671</v>
          </cell>
          <cell r="E8">
            <v>712.75</v>
          </cell>
        </row>
        <row r="9">
          <cell r="A9" t="str">
            <v>G1G</v>
          </cell>
          <cell r="D9">
            <v>83.963541666666671</v>
          </cell>
          <cell r="E9">
            <v>712.75</v>
          </cell>
        </row>
        <row r="10">
          <cell r="A10" t="str">
            <v>G2A</v>
          </cell>
          <cell r="D10">
            <v>80.979166666666671</v>
          </cell>
          <cell r="E10">
            <v>965.08333333333337</v>
          </cell>
        </row>
        <row r="11">
          <cell r="A11" t="str">
            <v>G2B</v>
          </cell>
          <cell r="D11">
            <v>82.020833333333329</v>
          </cell>
          <cell r="E11">
            <v>965.08333333333337</v>
          </cell>
        </row>
        <row r="12">
          <cell r="A12" t="str">
            <v>G2C</v>
          </cell>
          <cell r="D12">
            <v>107.35416666666667</v>
          </cell>
          <cell r="E12">
            <v>965.08333333333337</v>
          </cell>
        </row>
        <row r="13">
          <cell r="A13" t="str">
            <v>G2D</v>
          </cell>
          <cell r="D13">
            <v>102.01041666666667</v>
          </cell>
          <cell r="E13">
            <v>702.91666666666663</v>
          </cell>
        </row>
        <row r="14">
          <cell r="A14" t="str">
            <v>G2E</v>
          </cell>
          <cell r="D14">
            <v>90.046875</v>
          </cell>
          <cell r="E14">
            <v>702.91666666666663</v>
          </cell>
        </row>
        <row r="15">
          <cell r="A15" t="str">
            <v>G2F</v>
          </cell>
          <cell r="D15">
            <v>84.041666666666671</v>
          </cell>
          <cell r="E15">
            <v>702.91666666666663</v>
          </cell>
        </row>
        <row r="16">
          <cell r="A16" t="str">
            <v>G2G</v>
          </cell>
          <cell r="D16">
            <v>82.25</v>
          </cell>
          <cell r="E16">
            <v>702.91666666666663</v>
          </cell>
        </row>
        <row r="17">
          <cell r="A17" t="str">
            <v>G3A</v>
          </cell>
          <cell r="D17">
            <v>82.213541666666671</v>
          </cell>
          <cell r="E17">
            <v>974.91666666666663</v>
          </cell>
        </row>
        <row r="18">
          <cell r="A18" t="str">
            <v>G3B</v>
          </cell>
          <cell r="D18">
            <v>82.020833333333329</v>
          </cell>
          <cell r="E18">
            <v>974.91666666666663</v>
          </cell>
        </row>
        <row r="19">
          <cell r="A19" t="str">
            <v>G3C</v>
          </cell>
          <cell r="D19">
            <v>108.05729166666667</v>
          </cell>
          <cell r="E19">
            <v>974.91666666666663</v>
          </cell>
        </row>
        <row r="20">
          <cell r="A20" t="str">
            <v>G3D</v>
          </cell>
          <cell r="D20">
            <v>102.015625</v>
          </cell>
          <cell r="E20">
            <v>693.08333333333337</v>
          </cell>
        </row>
        <row r="21">
          <cell r="A21" t="str">
            <v>G3E</v>
          </cell>
          <cell r="D21">
            <v>87.395833333333329</v>
          </cell>
          <cell r="E21">
            <v>693.08333333333337</v>
          </cell>
        </row>
        <row r="22">
          <cell r="A22" t="str">
            <v>G3F</v>
          </cell>
          <cell r="D22">
            <v>84.041666666666671</v>
          </cell>
          <cell r="E22">
            <v>693.08333333333337</v>
          </cell>
        </row>
        <row r="23">
          <cell r="A23" t="str">
            <v>G3G</v>
          </cell>
          <cell r="D23">
            <v>80.53125</v>
          </cell>
          <cell r="E23">
            <v>693.08333333333337</v>
          </cell>
        </row>
        <row r="24">
          <cell r="A24" t="str">
            <v>G4A</v>
          </cell>
          <cell r="D24">
            <v>83.447916666666671</v>
          </cell>
          <cell r="E24">
            <v>984.75</v>
          </cell>
        </row>
        <row r="25">
          <cell r="A25" t="str">
            <v>G4B</v>
          </cell>
          <cell r="D25">
            <v>82.015625</v>
          </cell>
          <cell r="E25">
            <v>984.75</v>
          </cell>
        </row>
        <row r="26">
          <cell r="A26" t="str">
            <v>G4C</v>
          </cell>
          <cell r="D26">
            <v>108.73958333333333</v>
          </cell>
          <cell r="E26">
            <v>984.75</v>
          </cell>
        </row>
        <row r="27">
          <cell r="A27" t="str">
            <v>G4D</v>
          </cell>
          <cell r="D27">
            <v>102.02083333333333</v>
          </cell>
          <cell r="E27">
            <v>683.25</v>
          </cell>
        </row>
        <row r="28">
          <cell r="A28" t="str">
            <v>G4E</v>
          </cell>
          <cell r="D28">
            <v>84.744791666666671</v>
          </cell>
          <cell r="E28">
            <v>683.25</v>
          </cell>
        </row>
        <row r="29">
          <cell r="A29" t="str">
            <v>G4F</v>
          </cell>
          <cell r="D29">
            <v>84.041666666666671</v>
          </cell>
          <cell r="E29">
            <v>683.25</v>
          </cell>
        </row>
        <row r="30">
          <cell r="A30" t="str">
            <v>G4G</v>
          </cell>
          <cell r="D30">
            <v>78.8125</v>
          </cell>
          <cell r="E30">
            <v>683.25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0C465-7BA2-4585-B9BB-C03043526232}">
  <sheetPr codeName="Sheet1"/>
  <dimension ref="A1:G40"/>
  <sheetViews>
    <sheetView topLeftCell="A22" workbookViewId="0">
      <selection activeCell="K38" sqref="K38"/>
    </sheetView>
  </sheetViews>
  <sheetFormatPr defaultRowHeight="15" x14ac:dyDescent="0.25"/>
  <cols>
    <col min="3" max="3" width="12.28515625" customWidth="1"/>
  </cols>
  <sheetData>
    <row r="1" spans="1:7" x14ac:dyDescent="0.25">
      <c r="A1" t="s">
        <v>0</v>
      </c>
    </row>
    <row r="3" spans="1:7" x14ac:dyDescent="0.25">
      <c r="A3" t="s">
        <v>1</v>
      </c>
      <c r="F3">
        <v>22.151878</v>
      </c>
      <c r="G3" t="s">
        <v>2</v>
      </c>
    </row>
    <row r="5" spans="1:7" x14ac:dyDescent="0.25">
      <c r="B5" s="1" t="s">
        <v>3</v>
      </c>
    </row>
    <row r="7" spans="1:7" x14ac:dyDescent="0.25">
      <c r="B7" t="s">
        <v>4</v>
      </c>
    </row>
    <row r="8" spans="1:7" x14ac:dyDescent="0.25">
      <c r="B8" t="s">
        <v>5</v>
      </c>
    </row>
    <row r="9" spans="1:7" x14ac:dyDescent="0.25">
      <c r="C9">
        <v>0</v>
      </c>
      <c r="D9" t="s">
        <v>6</v>
      </c>
    </row>
    <row r="10" spans="1:7" x14ac:dyDescent="0.25">
      <c r="C10">
        <v>1</v>
      </c>
      <c r="D10" t="s">
        <v>7</v>
      </c>
    </row>
    <row r="11" spans="1:7" x14ac:dyDescent="0.25">
      <c r="C11">
        <v>2</v>
      </c>
      <c r="D11" t="s">
        <v>8</v>
      </c>
    </row>
    <row r="13" spans="1:7" x14ac:dyDescent="0.25">
      <c r="C13" t="s">
        <v>9</v>
      </c>
    </row>
    <row r="15" spans="1:7" x14ac:dyDescent="0.25">
      <c r="B15" t="s">
        <v>10</v>
      </c>
      <c r="C15" t="str" cm="1">
        <f t="array" ref="C15">FeetAndInches($F$3,2,0)</f>
        <v>22'-2</v>
      </c>
      <c r="D15" t="str">
        <f ca="1">_xlfn.FORMULATEXT(C15)</f>
        <v>=FeetAndInches($F$3,2,0)</v>
      </c>
    </row>
    <row r="16" spans="1:7" x14ac:dyDescent="0.25">
      <c r="C16" t="str" cm="1">
        <f t="array" ref="C16">FeetAndInches($F$3,4,1)</f>
        <v>22'-1 3/4</v>
      </c>
      <c r="D16" t="str">
        <f t="shared" ref="D16:D20" ca="1" si="0">_xlfn.FORMULATEXT(C16)</f>
        <v>=FeetAndInches($F$3,4,1)</v>
      </c>
    </row>
    <row r="17" spans="1:6" x14ac:dyDescent="0.25">
      <c r="C17" t="str" cm="1">
        <f t="array" ref="C17">FeetAndInches($F$3,8,0)</f>
        <v>22'-1 7/8</v>
      </c>
      <c r="D17" t="str">
        <f t="shared" ca="1" si="0"/>
        <v>=FeetAndInches($F$3,8,0)</v>
      </c>
    </row>
    <row r="18" spans="1:6" x14ac:dyDescent="0.25">
      <c r="C18" t="str" cm="1">
        <f t="array" ref="C18">FeetAndInches($F$3,16,0)</f>
        <v>22'-1 13/16</v>
      </c>
      <c r="D18" t="str">
        <f t="shared" ca="1" si="0"/>
        <v>=FeetAndInches($F$3,16,0)</v>
      </c>
    </row>
    <row r="19" spans="1:6" x14ac:dyDescent="0.25">
      <c r="C19" t="str" cm="1">
        <f t="array" ref="C19">FeetAndInches($F$3,32,0)</f>
        <v>22'-1 13/16</v>
      </c>
      <c r="D19" t="str">
        <f t="shared" ca="1" si="0"/>
        <v>=FeetAndInches($F$3,32,0)</v>
      </c>
    </row>
    <row r="20" spans="1:6" x14ac:dyDescent="0.25">
      <c r="C20" t="str" cm="1">
        <f t="array" ref="C20">FeetAndInches($F$3,16,2)</f>
        <v>265 13/16</v>
      </c>
      <c r="D20" t="str">
        <f t="shared" ca="1" si="0"/>
        <v>=FeetAndInches($F$3,16,2)</v>
      </c>
    </row>
    <row r="23" spans="1:6" x14ac:dyDescent="0.25">
      <c r="A23" t="s">
        <v>11</v>
      </c>
      <c r="F23">
        <v>22.151878</v>
      </c>
    </row>
    <row r="25" spans="1:6" x14ac:dyDescent="0.25">
      <c r="B25" s="1" t="s">
        <v>14</v>
      </c>
    </row>
    <row r="27" spans="1:6" x14ac:dyDescent="0.25">
      <c r="B27" t="s">
        <v>4</v>
      </c>
    </row>
    <row r="28" spans="1:6" x14ac:dyDescent="0.25">
      <c r="B28" t="s">
        <v>5</v>
      </c>
    </row>
    <row r="29" spans="1:6" x14ac:dyDescent="0.25">
      <c r="C29">
        <v>3</v>
      </c>
      <c r="D29" t="s">
        <v>7</v>
      </c>
    </row>
    <row r="30" spans="1:6" x14ac:dyDescent="0.25">
      <c r="C30">
        <v>4</v>
      </c>
      <c r="D30" t="s">
        <v>12</v>
      </c>
    </row>
    <row r="33" spans="2:4" x14ac:dyDescent="0.25">
      <c r="C33" t="s">
        <v>13</v>
      </c>
    </row>
    <row r="35" spans="2:4" x14ac:dyDescent="0.25">
      <c r="B35" t="s">
        <v>10</v>
      </c>
      <c r="C35" t="str" cm="1">
        <f t="array" ref="C35">FeetAndInches($F$3,4,3)</f>
        <v>1'-10 1/4</v>
      </c>
      <c r="D35" t="str">
        <f ca="1">_xlfn.FORMULATEXT(C35)</f>
        <v>=FeetAndInches($F$3,4,3)</v>
      </c>
    </row>
    <row r="36" spans="2:4" x14ac:dyDescent="0.25">
      <c r="C36" t="str" cm="1">
        <f t="array" ref="C36">FeetAndInches($F$3,8,3)</f>
        <v>1'-10 1/8</v>
      </c>
      <c r="D36" t="str">
        <f t="shared" ref="D36:D40" ca="1" si="1">_xlfn.FORMULATEXT(C36)</f>
        <v>=FeetAndInches($F$3,8,3)</v>
      </c>
    </row>
    <row r="37" spans="2:4" x14ac:dyDescent="0.25">
      <c r="C37" t="str" cm="1">
        <f t="array" ref="C37">FeetAndInches($F$3,16,3)</f>
        <v>1'-10 1/8</v>
      </c>
      <c r="D37" t="str">
        <f t="shared" ca="1" si="1"/>
        <v>=FeetAndInches($F$3,16,3)</v>
      </c>
    </row>
    <row r="38" spans="2:4" x14ac:dyDescent="0.25">
      <c r="C38" t="str" cm="1">
        <f t="array" ref="C38">FeetAndInches($F$3,4,4)</f>
        <v>22 1/4</v>
      </c>
      <c r="D38" t="str">
        <f t="shared" ca="1" si="1"/>
        <v>=FeetAndInches($F$3,4,4)</v>
      </c>
    </row>
    <row r="39" spans="2:4" x14ac:dyDescent="0.25">
      <c r="C39" t="str" cm="1">
        <f t="array" ref="C39">FeetAndInches($F$3,8,4)</f>
        <v>22 1/8</v>
      </c>
      <c r="D39" t="str">
        <f t="shared" ca="1" si="1"/>
        <v>=FeetAndInches($F$3,8,4)</v>
      </c>
    </row>
    <row r="40" spans="2:4" x14ac:dyDescent="0.25">
      <c r="C40" t="str" cm="1">
        <f t="array" ref="C40">FeetAndInches($F$3,16,4)</f>
        <v>22 1/8</v>
      </c>
      <c r="D40" t="str">
        <f t="shared" ca="1" si="1"/>
        <v>=FeetAndInches($F$3,16,4)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5351A-C250-42DB-9128-8C03C1EAA56D}">
  <sheetPr codeName="Sheet2"/>
  <dimension ref="D2:T33"/>
  <sheetViews>
    <sheetView tabSelected="1" topLeftCell="A10" workbookViewId="0">
      <selection activeCell="K37" sqref="K37"/>
    </sheetView>
  </sheetViews>
  <sheetFormatPr defaultRowHeight="15" x14ac:dyDescent="0.25"/>
  <cols>
    <col min="11" max="11" width="12.28515625" customWidth="1"/>
    <col min="12" max="12" width="12" bestFit="1" customWidth="1"/>
    <col min="14" max="14" width="10.28515625" bestFit="1" customWidth="1"/>
    <col min="15" max="15" width="10.85546875" bestFit="1" customWidth="1"/>
    <col min="19" max="19" width="12.28515625" bestFit="1" customWidth="1"/>
    <col min="20" max="20" width="12.7109375" bestFit="1" customWidth="1"/>
  </cols>
  <sheetData>
    <row r="2" spans="10:18" x14ac:dyDescent="0.25">
      <c r="J2" s="3" t="s">
        <v>21</v>
      </c>
    </row>
    <row r="3" spans="10:18" x14ac:dyDescent="0.25">
      <c r="J3" s="2" t="s">
        <v>17</v>
      </c>
    </row>
    <row r="4" spans="10:18" x14ac:dyDescent="0.25">
      <c r="K4" t="s">
        <v>15</v>
      </c>
      <c r="L4" s="4">
        <v>79.75</v>
      </c>
      <c r="M4" t="s">
        <v>2</v>
      </c>
    </row>
    <row r="5" spans="10:18" x14ac:dyDescent="0.25">
      <c r="K5" t="s">
        <v>18</v>
      </c>
      <c r="L5" s="4">
        <v>50</v>
      </c>
      <c r="M5" t="s">
        <v>2</v>
      </c>
    </row>
    <row r="6" spans="10:18" x14ac:dyDescent="0.25">
      <c r="K6" t="s">
        <v>16</v>
      </c>
      <c r="L6" s="4">
        <v>955.25</v>
      </c>
      <c r="M6" t="s">
        <v>2</v>
      </c>
    </row>
    <row r="8" spans="10:18" x14ac:dyDescent="0.25">
      <c r="J8" s="2" t="s">
        <v>19</v>
      </c>
    </row>
    <row r="9" spans="10:18" x14ac:dyDescent="0.25">
      <c r="K9" t="s">
        <v>20</v>
      </c>
      <c r="L9" s="5">
        <f>(A-2*ASIN((L/2)/Rad)*Rad)/2</f>
        <v>14.872145246760976</v>
      </c>
      <c r="M9" t="s">
        <v>2</v>
      </c>
    </row>
    <row r="10" spans="10:18" x14ac:dyDescent="0.25">
      <c r="L10" s="5" t="str" cm="1">
        <f t="array" ref="L10">FeetAndInches(L9,16,0)</f>
        <v>14'-10 7/16</v>
      </c>
      <c r="R10" s="1"/>
    </row>
    <row r="25" spans="4:20" x14ac:dyDescent="0.25">
      <c r="E25" t="s">
        <v>30</v>
      </c>
      <c r="F25" t="s">
        <v>31</v>
      </c>
      <c r="G25" t="s">
        <v>32</v>
      </c>
      <c r="H25" t="s">
        <v>33</v>
      </c>
      <c r="I25" t="s">
        <v>39</v>
      </c>
      <c r="K25" t="s">
        <v>34</v>
      </c>
      <c r="L25" t="s">
        <v>35</v>
      </c>
      <c r="M25" t="s">
        <v>36</v>
      </c>
      <c r="O25" t="s">
        <v>37</v>
      </c>
      <c r="P25" t="s">
        <v>38</v>
      </c>
      <c r="S25" t="s">
        <v>40</v>
      </c>
      <c r="T25" t="s">
        <v>41</v>
      </c>
    </row>
    <row r="26" spans="4:20" x14ac:dyDescent="0.25">
      <c r="D26" t="s">
        <v>22</v>
      </c>
      <c r="E26" cm="1">
        <f t="array" ref="E26">_xlfn.XLOOKUP($D26,[1]!GirderID,[1]!Length)</f>
        <v>84.041666666666671</v>
      </c>
      <c r="F26">
        <v>50</v>
      </c>
      <c r="G26" cm="1">
        <f t="array" ref="G26">_xlfn.XLOOKUP($D26,[1]!GirderID,[1]!Radius)</f>
        <v>712.75</v>
      </c>
      <c r="H26">
        <f>(E26-2*ASIN((F26/2)/G26)*G26)/2</f>
        <v>17.015704307684402</v>
      </c>
      <c r="I26">
        <v>17.399999999999999</v>
      </c>
      <c r="K26">
        <v>44.634999999999998</v>
      </c>
      <c r="L26">
        <v>-7.0000000000000007E-2</v>
      </c>
      <c r="M26">
        <v>0.35</v>
      </c>
      <c r="O26">
        <v>-0.86099999999999999</v>
      </c>
      <c r="P26">
        <v>0.66</v>
      </c>
      <c r="S26">
        <f>1.5/ABS(L26)</f>
        <v>21.428571428571427</v>
      </c>
      <c r="T26">
        <f>1.5/ABS(O26)</f>
        <v>1.7421602787456447</v>
      </c>
    </row>
    <row r="27" spans="4:20" x14ac:dyDescent="0.25">
      <c r="D27" t="s">
        <v>23</v>
      </c>
      <c r="E27" cm="1">
        <f t="array" ref="E27">_xlfn.XLOOKUP($D27,[1]!GirderID,[1]!Length)</f>
        <v>84.041666666666671</v>
      </c>
      <c r="F27">
        <v>50</v>
      </c>
      <c r="G27" cm="1">
        <f t="array" ref="G27">_xlfn.XLOOKUP($D27,[1]!GirderID,[1]!Radius)</f>
        <v>702.91666666666663</v>
      </c>
      <c r="H27">
        <f t="shared" ref="H27:H33" si="0">(E27-2*ASIN((F27/2)/G27)*G27)/2</f>
        <v>17.015559718326692</v>
      </c>
      <c r="I27">
        <v>17.399999999999999</v>
      </c>
      <c r="K27">
        <v>44.634999999999998</v>
      </c>
      <c r="L27">
        <v>-7.0000000000000007E-2</v>
      </c>
      <c r="M27">
        <v>0.35</v>
      </c>
      <c r="O27">
        <v>-0.874</v>
      </c>
      <c r="P27">
        <v>0.67</v>
      </c>
      <c r="S27">
        <f t="shared" ref="S27:S29" si="1">1.5/ABS(L27)</f>
        <v>21.428571428571427</v>
      </c>
      <c r="T27">
        <f t="shared" ref="T27:T29" si="2">1.5/ABS(O27)</f>
        <v>1.7162471395881007</v>
      </c>
    </row>
    <row r="28" spans="4:20" x14ac:dyDescent="0.25">
      <c r="D28" t="s">
        <v>24</v>
      </c>
      <c r="E28" cm="1">
        <f t="array" ref="E28">_xlfn.XLOOKUP($D28,[1]!GirderID,[1]!Length)</f>
        <v>84.041666666666671</v>
      </c>
      <c r="F28">
        <v>50</v>
      </c>
      <c r="G28" cm="1">
        <f t="array" ref="G28">_xlfn.XLOOKUP($D28,[1]!GirderID,[1]!Radius)</f>
        <v>693.08333333333337</v>
      </c>
      <c r="H28">
        <f t="shared" si="0"/>
        <v>17.015408926384175</v>
      </c>
      <c r="K28">
        <v>44.634999999999998</v>
      </c>
      <c r="L28">
        <v>-7.0000000000000007E-2</v>
      </c>
      <c r="M28">
        <v>0.35</v>
      </c>
      <c r="S28">
        <f t="shared" si="1"/>
        <v>21.428571428571427</v>
      </c>
      <c r="T28" t="e">
        <f t="shared" si="2"/>
        <v>#DIV/0!</v>
      </c>
    </row>
    <row r="29" spans="4:20" x14ac:dyDescent="0.25">
      <c r="D29" t="s">
        <v>25</v>
      </c>
      <c r="E29" cm="1">
        <f t="array" ref="E29">_xlfn.XLOOKUP($D29,[1]!GirderID,[1]!Length)</f>
        <v>84.041666666666671</v>
      </c>
      <c r="F29">
        <v>50</v>
      </c>
      <c r="G29" cm="1">
        <f t="array" ref="G29">_xlfn.XLOOKUP($D29,[1]!GirderID,[1]!Radius)</f>
        <v>683.25</v>
      </c>
      <c r="H29">
        <f t="shared" si="0"/>
        <v>17.01525157187243</v>
      </c>
      <c r="I29">
        <v>17.010000000000002</v>
      </c>
      <c r="K29">
        <v>44.634999999999998</v>
      </c>
      <c r="L29">
        <v>-7.0000000000000007E-2</v>
      </c>
      <c r="M29">
        <v>0.35</v>
      </c>
      <c r="O29">
        <v>-0.81699999999999995</v>
      </c>
      <c r="S29">
        <f t="shared" si="1"/>
        <v>21.428571428571427</v>
      </c>
      <c r="T29">
        <f t="shared" si="2"/>
        <v>1.8359853121175032</v>
      </c>
    </row>
    <row r="30" spans="4:20" x14ac:dyDescent="0.25">
      <c r="D30" t="s">
        <v>26</v>
      </c>
      <c r="E30" cm="1">
        <f t="array" ref="E30">_xlfn.XLOOKUP($D30,[1]!GirderID,[1]!Length)</f>
        <v>83.963541666666671</v>
      </c>
      <c r="F30">
        <v>50</v>
      </c>
      <c r="G30" cm="1">
        <f t="array" ref="G30">_xlfn.XLOOKUP($D30,[1]!GirderID,[1]!Radius)</f>
        <v>712.75</v>
      </c>
      <c r="H30">
        <f t="shared" si="0"/>
        <v>16.976641807684402</v>
      </c>
    </row>
    <row r="31" spans="4:20" x14ac:dyDescent="0.25">
      <c r="D31" t="s">
        <v>27</v>
      </c>
      <c r="E31" cm="1">
        <f t="array" ref="E31">_xlfn.XLOOKUP($D31,[1]!GirderID,[1]!Length)</f>
        <v>82.25</v>
      </c>
      <c r="F31">
        <v>50</v>
      </c>
      <c r="G31" cm="1">
        <f t="array" ref="G31">_xlfn.XLOOKUP($D31,[1]!GirderID,[1]!Radius)</f>
        <v>702.91666666666663</v>
      </c>
      <c r="H31">
        <f t="shared" si="0"/>
        <v>16.119726384993356</v>
      </c>
    </row>
    <row r="32" spans="4:20" x14ac:dyDescent="0.25">
      <c r="D32" t="s">
        <v>28</v>
      </c>
      <c r="E32" cm="1">
        <f t="array" ref="E32">_xlfn.XLOOKUP($D32,[1]!GirderID,[1]!Length)</f>
        <v>80.53125</v>
      </c>
      <c r="F32">
        <v>50</v>
      </c>
      <c r="G32" cm="1">
        <f t="array" ref="G32">_xlfn.XLOOKUP($D32,[1]!GirderID,[1]!Radius)</f>
        <v>693.08333333333337</v>
      </c>
      <c r="H32">
        <f t="shared" si="0"/>
        <v>15.26020059305084</v>
      </c>
    </row>
    <row r="33" spans="4:8" x14ac:dyDescent="0.25">
      <c r="D33" t="s">
        <v>29</v>
      </c>
      <c r="E33" cm="1">
        <f t="array" ref="E33">_xlfn.XLOOKUP($D33,[1]!GirderID,[1]!Length)</f>
        <v>78.8125</v>
      </c>
      <c r="F33">
        <v>50</v>
      </c>
      <c r="G33" cm="1">
        <f t="array" ref="G33">_xlfn.XLOOKUP($D33,[1]!GirderID,[1]!Radius)</f>
        <v>683.25</v>
      </c>
      <c r="H33">
        <f t="shared" si="0"/>
        <v>14.400668238539094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Instructions</vt:lpstr>
      <vt:lpstr>Sheet1</vt:lpstr>
      <vt:lpstr>A</vt:lpstr>
      <vt:lpstr>L</vt:lpstr>
      <vt:lpstr>Rad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Lynes, William</dc:creator>
  <cp:lastModifiedBy>Lynes, Will</cp:lastModifiedBy>
  <dcterms:created xsi:type="dcterms:W3CDTF">2022-08-23T14:12:48Z</dcterms:created>
  <dcterms:modified xsi:type="dcterms:W3CDTF">2022-08-24T10:41:27Z</dcterms:modified>
</cp:coreProperties>
</file>