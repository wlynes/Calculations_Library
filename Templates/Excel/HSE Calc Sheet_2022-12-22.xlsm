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ighnet0-my.sharepoint.com/personal/wlynes_high_net/Documents/Templates/Excel/"/>
    </mc:Choice>
  </mc:AlternateContent>
  <xr:revisionPtr revIDLastSave="305" documentId="8_{CA0AF3ED-A2C4-4333-9E8F-1E589C6BF8E7}" xr6:coauthVersionLast="47" xr6:coauthVersionMax="47" xr10:uidLastSave="{F01AEBE6-EAEE-450B-9D06-A00E6D0C55FB}"/>
  <bookViews>
    <workbookView xWindow="-108" yWindow="-108" windowWidth="23256" windowHeight="12576" activeTab="2" xr2:uid="{A2E0E4FB-B04F-4561-AB60-F5E0C1928BE8}"/>
  </bookViews>
  <sheets>
    <sheet name="Sheet1" sheetId="1" r:id="rId1"/>
    <sheet name="xlwings.conf" sheetId="4" r:id="rId2"/>
    <sheet name="Cool Things this Workbook Does" sheetId="2" r:id="rId3"/>
  </sheets>
  <functionGroups builtInGroupCount="19"/>
  <definedNames>
    <definedName name="_xlnm.Print_Titles" localSheetId="0">Sheet1!$1:$7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4" i="2" l="1"/>
  <c r="K17" i="2"/>
  <c r="I1" i="1"/>
  <c r="I2" i="1" s="1"/>
  <c r="K18" i="2" a="1"/>
  <c r="C39" i="2" a="1"/>
  <c r="C36" i="2" a="1"/>
  <c r="C19" i="2" a="1"/>
  <c r="C37" i="2" a="1"/>
  <c r="C40" i="2" a="1"/>
  <c r="C15" i="2" a="1"/>
  <c r="C16" i="2" a="1"/>
  <c r="C38" i="2" a="1"/>
  <c r="C20" i="2" a="1"/>
  <c r="C35" i="2" a="1"/>
  <c r="C18" i="2" a="1"/>
  <c r="C17" i="2" a="1"/>
  <c r="L27" i="2" a="1"/>
  <c r="N27" i="2" a="1"/>
  <c r="O27" i="2" a="1"/>
  <c r="K27" i="2" a="1"/>
  <c r="M27" i="2" a="1"/>
  <c r="D38" i="2"/>
  <c r="D40" i="2"/>
  <c r="D36" i="2"/>
  <c r="D16" i="2"/>
  <c r="D18" i="2"/>
  <c r="D20" i="2"/>
  <c r="D39" i="2"/>
  <c r="D15" i="2"/>
  <c r="D17" i="2"/>
  <c r="D35" i="2"/>
  <c r="D19" i="2"/>
  <c r="D37" i="2"/>
  <c r="L27" i="2" l="1"/>
  <c r="N27" i="2"/>
  <c r="M27" i="2"/>
  <c r="O27" i="2"/>
  <c r="K27" i="2"/>
  <c r="K18" i="2"/>
  <c r="C20" i="2"/>
  <c r="C36" i="2"/>
  <c r="C37" i="2"/>
  <c r="C17" i="2"/>
  <c r="C39" i="2"/>
  <c r="C16" i="2"/>
  <c r="C18" i="2"/>
  <c r="C35" i="2"/>
  <c r="C38" i="2"/>
  <c r="C40" i="2"/>
  <c r="C15" i="2"/>
  <c r="C19" i="2"/>
  <c r="N28" i="2" a="1"/>
  <c r="O28" i="2" a="1"/>
  <c r="L28" i="2" a="1"/>
  <c r="K28" i="2" a="1"/>
  <c r="M28" i="2" a="1"/>
  <c r="O28" i="2" l="1"/>
  <c r="O29" i="2" s="1"/>
  <c r="N28" i="2"/>
  <c r="N29" i="2" s="1"/>
  <c r="M28" i="2"/>
  <c r="M29" i="2" s="1"/>
  <c r="L28" i="2"/>
  <c r="L29" i="2" s="1"/>
  <c r="K28" i="2"/>
  <c r="K29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<sst xmlns="http://schemas.openxmlformats.org/spreadsheetml/2006/main" count="62" uniqueCount="58">
  <si>
    <t>High Structural Erectors, LLC</t>
  </si>
  <si>
    <t>Made By:</t>
  </si>
  <si>
    <t>WJL</t>
  </si>
  <si>
    <t>Lancaster, PA</t>
  </si>
  <si>
    <t>Checked By:</t>
  </si>
  <si>
    <t>BJT</t>
  </si>
  <si>
    <t>Job Title/Number:</t>
  </si>
  <si>
    <t>Subject:</t>
  </si>
  <si>
    <t>2220000-01</t>
  </si>
  <si>
    <t>Calculation Subject</t>
  </si>
  <si>
    <t>This macro-enabled workbook contains the HSS "Feet and Inches" custom function.</t>
  </si>
  <si>
    <t>Consider the following dimension (in decimal feet)</t>
  </si>
  <si>
    <t>ft</t>
  </si>
  <si>
    <t>=FeetAndInches(Feet Decimal Input, Precision, Number Format)</t>
  </si>
  <si>
    <t>Precision -- Only powers of '2' are allowed</t>
  </si>
  <si>
    <t>Number Format</t>
  </si>
  <si>
    <t>Feet and inches and fraction (if no feet, inches only)</t>
  </si>
  <si>
    <t>Feet and inches fraction</t>
  </si>
  <si>
    <t>Inches and Fraction Only</t>
  </si>
  <si>
    <t>Note:  Don't use 3 or 4 when the input is in feet</t>
  </si>
  <si>
    <t>Examples</t>
  </si>
  <si>
    <t>Consider the following dimension (in decimal inches)</t>
  </si>
  <si>
    <t>=FeetAndInches(Inches Decimal Input, Precision, Number Format)</t>
  </si>
  <si>
    <t>Inches fraction only</t>
  </si>
  <si>
    <t>Note:  Don't use 0 thru 3 when the input is in inches</t>
  </si>
  <si>
    <t>Interpreter_Win</t>
  </si>
  <si>
    <t>Interpreter_Mac</t>
  </si>
  <si>
    <t>PYTHONPATH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</si>
  <si>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</si>
  <si>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</si>
  <si>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</si>
  <si>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</si>
  <si>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</si>
  <si>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</si>
  <si>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</si>
  <si>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</si>
  <si>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</si>
  <si>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</si>
  <si>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</si>
  <si>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C:\Users\wlynes\Documents\Python\streng\Scripts\python.exe</t>
  </si>
  <si>
    <t>C:\Users\wlynes\Documents\Python\streng\Scripts</t>
  </si>
  <si>
    <t>This workbook can also prompt the user to select a file,</t>
  </si>
  <si>
    <t>and it will return the full path/filename to a cell you select.</t>
  </si>
  <si>
    <t>This is useful for Python or VBA needing to open files to process stuff.</t>
  </si>
  <si>
    <t>C:\Users\wlynes\OneDrive - high.net\Temp\test.py</t>
  </si>
  <si>
    <t>This workbook will also take a text string dimension of feet-inches</t>
  </si>
  <si>
    <t>and will back-calculate its decimal value:</t>
  </si>
  <si>
    <t>Converted value</t>
  </si>
  <si>
    <t>Our value from the feetandinches demo (16th of an inch)</t>
  </si>
  <si>
    <t>The sort-of drawback to doing this is that it's converted an already-converted number</t>
  </si>
  <si>
    <t>So there's bound to be some error.  For this example, let's check the error</t>
  </si>
  <si>
    <t>Real decimal value (random number between 10 and 20)</t>
  </si>
  <si>
    <t>FeetAndInches Precision</t>
  </si>
  <si>
    <t>FeetAndInches Conversion</t>
  </si>
  <si>
    <t>C:\Users\wlynes\Downloads\VBScript_worksheet_management(1).zip</t>
  </si>
  <si>
    <t>FtInchesToDecimal Back-Conversion</t>
  </si>
  <si>
    <t>Error (%)</t>
  </si>
  <si>
    <t>So generally, a 1/16 precision is sufficient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</si>
</sst>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0.0000%"/>
  </numFmts>
  <fonts count="15">
    <font>
      <sz val="10"/>
      <color theme="1"/>
      <name val="Arial Nova"/>
      <family val="2"/>
    </font>
    <font>
      <sz val="10"/>
      <color theme="1"/>
      <name val="Arial Nova"/>
      <family val="2"/>
    </font>
    <font>
      <b/>
      <sz val="10"/>
      <color theme="1"/>
      <name val="Arial Nova"/>
      <family val="2"/>
    </font>
    <font>
      <b/>
      <sz val="10"/>
      <name val="Arial Nova"/>
      <family val="2"/>
    </font>
    <font>
      <b/>
      <sz val="10"/>
      <color rgb="FF003594"/>
      <name val="Arial Nova"/>
      <family val="2"/>
    </font>
    <font>
      <i/>
      <sz val="10"/>
      <name val="Arial Nova"/>
      <family val="2"/>
    </font>
    <font>
      <b/>
      <sz val="10"/>
      <color rgb="FFFFB81C"/>
      <name val="Arial Nova"/>
      <family val="2"/>
    </font>
    <font>
      <sz val="10"/>
      <color rgb="FF003594"/>
      <name val="Arial Nova"/>
      <family val="2"/>
    </font>
    <font>
      <b/>
      <sz val="10"/>
      <color rgb="FFED1B24"/>
      <name val="Arial Nova"/>
      <family val="2"/>
    </font>
    <font>
      <b/>
      <sz val="10"/>
      <color rgb="FF1E6B52"/>
      <name val="Arial Nov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name val="Arial Nova"/>
      <family val="2"/>
    </font>
    <font>
      <sz val="10"/>
      <color rgb="FF000000"/>
      <name val="Arial Nova"/>
      <family val="2"/>
    </font>
    <font>
      <b/>
      <sz val="26"/>
      <color rgb="FF000000"/>
      <name val="Arial Nova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3594"/>
        <bgColor indexed="64"/>
      </patternFill>
    </fill>
    <fill>
      <patternFill patternType="solid">
        <fgColor rgb="FFFFB81C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3">
    <xf numFmtId="0" fontId="0" fillId="0" borderId="0"/>
    <xf numFmtId="0" fontId="12" fillId="0" borderId="1" applyNumberFormat="0" applyFill="0" applyBorder="0" applyAlignment="0" applyProtection="0"/>
    <xf numFmtId="0" fontId="9" fillId="2" borderId="0" applyNumberFormat="0" applyBorder="0" applyAlignment="0" applyProtection="0"/>
    <xf numFmtId="0" fontId="8" fillId="2" borderId="0" applyNumberFormat="0" applyBorder="0" applyAlignment="0" applyProtection="0"/>
    <xf numFmtId="0" fontId="6" fillId="3" borderId="2" applyNumberFormat="0" applyAlignment="0" applyProtection="0"/>
    <xf numFmtId="0" fontId="3" fillId="2" borderId="2" applyNumberFormat="0" applyAlignment="0"/>
    <xf numFmtId="0" fontId="5" fillId="0" borderId="0" applyNumberFormat="0" applyFill="0" applyBorder="0" applyAlignment="0" applyProtection="0"/>
    <xf numFmtId="0" fontId="7" fillId="2" borderId="2" applyAlignment="0" applyProtection="0"/>
    <xf numFmtId="0" fontId="4" fillId="4" borderId="2" applyAlignment="0" applyProtection="0"/>
    <xf numFmtId="0" fontId="7" fillId="0" borderId="2" applyAlignment="0" applyProtection="0"/>
    <xf numFmtId="0" fontId="5" fillId="0" borderId="2" applyAlignment="0" applyProtection="0"/>
    <xf numFmtId="0" fontId="1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right"/>
    </xf>
    <xf numFmtId="0" fontId="0" fillId="0" borderId="0" xfId="0" applyAlignment="1" applyProtection="1">
      <alignment horizontal="center"/>
      <protection locked="0"/>
    </xf>
    <xf numFmtId="164" fontId="1" fillId="0" borderId="0" xfId="0" applyNumberFormat="1" applyFont="1" applyProtection="1">
      <protection locked="0"/>
    </xf>
    <xf numFmtId="0" fontId="0" fillId="0" borderId="0" xfId="0" quotePrefix="1" applyProtection="1">
      <protection locked="0"/>
    </xf>
    <xf numFmtId="0" fontId="0" fillId="0" borderId="0" xfId="0" applyProtection="1">
      <protection locked="0"/>
    </xf>
    <xf numFmtId="0" fontId="10" fillId="0" borderId="0" xfId="11"/>
    <xf numFmtId="0" fontId="10" fillId="0" borderId="0" xfId="11" quotePrefix="1"/>
    <xf numFmtId="0" fontId="10" fillId="0" borderId="0" xfId="11" applyAlignment="1">
      <alignment vertical="center"/>
    </xf>
    <xf numFmtId="0" fontId="11" fillId="0" borderId="0" xfId="11" applyFont="1" applyAlignment="1">
      <alignment vertical="center"/>
    </xf>
    <xf numFmtId="0" fontId="7" fillId="0" borderId="2" xfId="9"/>
    <xf numFmtId="0" fontId="10" fillId="0" borderId="0" xfId="11" applyAlignment="1">
      <alignment horizontal="right"/>
    </xf>
    <xf numFmtId="0" fontId="7" fillId="0" borderId="2" xfId="9" applyAlignment="1">
      <alignment horizontal="center"/>
    </xf>
    <xf numFmtId="165" fontId="7" fillId="0" borderId="2" xfId="12" applyNumberFormat="1" applyFont="1" applyBorder="1"/>
  </cellXfs>
  <cellStyles count="13">
    <cellStyle name="Bad" xfId="3" builtinId="27" customBuiltin="1"/>
    <cellStyle name="Calc Result" xfId="8" xr:uid="{C625D0B6-F3A6-4CD9-B29A-D32BB46CA247}"/>
    <cellStyle name="Calculation" xfId="5" builtinId="22" customBuiltin="1"/>
    <cellStyle name="Explanatory Text" xfId="6" builtinId="53" customBuiltin="1"/>
    <cellStyle name="Good" xfId="2" builtinId="26" customBuiltin="1"/>
    <cellStyle name="Heading 1" xfId="1" builtinId="16" customBuiltin="1"/>
    <cellStyle name="Input" xfId="4" builtinId="20" customBuiltin="1"/>
    <cellStyle name="Normal" xfId="0" builtinId="0"/>
    <cellStyle name="Normal 2" xfId="11" xr:uid="{1E3109B5-5ECC-4959-A01C-CD524D525052}"/>
    <cellStyle name="Percent" xfId="12" builtinId="5"/>
    <cellStyle name="Program Calc" xfId="9" xr:uid="{4E76B2ED-F713-4F6F-8029-89F6DEB9B804}"/>
    <cellStyle name="Reference" xfId="10" xr:uid="{D6EA047C-15A0-492E-A60B-F6A061D6A9BE}"/>
    <cellStyle name="User Input" xfId="7" xr:uid="{093D5B54-7B3B-4F7F-966E-8A16531E80F2}"/>
  </cellStyles>
  <dxfs count="0"/>
  <tableStyles count="0" defaultTableStyle="TableStyleMedium2" defaultPivotStyle="PivotStyleLight16"/>
  <colors>
    <mruColors>
      <color rgb="FF1E6B52"/>
      <color rgb="FFED1B24"/>
      <color rgb="FF003594"/>
      <color rgb="FFFFB8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8285</xdr:colOff>
      <xdr:row>0</xdr:row>
      <xdr:rowOff>0</xdr:rowOff>
    </xdr:from>
    <xdr:to>
      <xdr:col>1</xdr:col>
      <xdr:colOff>372384</xdr:colOff>
      <xdr:row>6</xdr:row>
      <xdr:rowOff>11927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5" y="0"/>
          <a:ext cx="973699" cy="98347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18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000000"/>
                  </a:solidFill>
                  <a:latin typeface="Arial Nova"/>
                </a:rPr>
                <a:t>Select Interpreter_Win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464820</xdr:colOff>
          <xdr:row>4</xdr:row>
          <xdr:rowOff>0</xdr:rowOff>
        </xdr:from>
        <xdr:to>
          <xdr:col>13</xdr:col>
          <xdr:colOff>464820</xdr:colOff>
          <xdr:row>6</xdr:row>
          <xdr:rowOff>106680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Nova"/>
                </a:rPr>
                <a:t>Select a File and Paste its full file name and path in a cell you'll be prompted to select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BF686-80C9-4EC9-8CE5-5AA75B7BE2B0}">
  <sheetPr codeName="Sheet11"/>
  <dimension ref="C1:M7"/>
  <sheetViews>
    <sheetView workbookViewId="0">
      <selection activeCell="F29" sqref="F29"/>
    </sheetView>
  </sheetViews>
  <sheetFormatPr defaultRowHeight="13.2"/>
  <cols>
    <col min="9" max="9" width="10.109375" bestFit="1" customWidth="1"/>
  </cols>
  <sheetData>
    <row r="1" spans="3:13" s="1" customFormat="1">
      <c r="C1" s="2" t="s">
        <v>0</v>
      </c>
      <c r="G1" s="3" t="s">
        <v>1</v>
      </c>
      <c r="H1" s="4" t="s">
        <v>2</v>
      </c>
      <c r="I1" s="5">
        <f ca="1">TODAY()</f>
        <v>44921</v>
      </c>
    </row>
    <row r="2" spans="3:13" s="1" customFormat="1">
      <c r="C2" t="s">
        <v>3</v>
      </c>
      <c r="G2" s="3" t="s">
        <v>4</v>
      </c>
      <c r="H2" s="4" t="s">
        <v>5</v>
      </c>
      <c r="I2" s="5">
        <f ca="1">WORKDAY(I1,3)</f>
        <v>44924</v>
      </c>
    </row>
    <row r="3" spans="3:13" s="1" customFormat="1">
      <c r="I3"/>
    </row>
    <row r="4" spans="3:13" s="1" customFormat="1">
      <c r="C4" s="2" t="s">
        <v>6</v>
      </c>
      <c r="E4" s="6" t="s">
        <v>8</v>
      </c>
    </row>
    <row r="5" spans="3:13" s="1" customFormat="1">
      <c r="C5" s="2" t="s">
        <v>7</v>
      </c>
      <c r="D5" s="7" t="s">
        <v>9</v>
      </c>
    </row>
    <row r="6" spans="3:13" s="1" customFormat="1"/>
    <row r="7" spans="3:13" s="1" customFormat="1">
      <c r="M7"/>
    </row>
  </sheetData>
  <pageMargins left="0.5" right="0.25" top="0.25" bottom="0.25" header="0" footer="0.1"/>
  <pageSetup orientation="portrait" r:id="rId1"/>
  <headerFooter>
    <oddFooter>&amp;L&amp;F
&amp;A&amp;RPage 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6F93F-B2E9-42CE-934C-15BE67C8E674}">
  <sheetPr codeName="Sheet3"/>
  <dimension ref="A1:B17"/>
  <sheetViews>
    <sheetView workbookViewId="0">
      <selection activeCell="J21" sqref="J21"/>
    </sheetView>
  </sheetViews>
  <sheetFormatPr defaultColWidth="10.109375" defaultRowHeight="14.4"/>
  <cols>
    <col min="1" max="1" width="16.88671875" style="10" customWidth="1"/>
    <col min="2" max="2" width="10.5546875" style="10" customWidth="1"/>
    <col min="3" max="16384" width="10.109375" style="10"/>
  </cols>
  <sheetData>
    <row r="1" spans="1:2">
      <c r="A1" s="10" t="s">
        <v>25</v>
      </c>
      <c r="B1" s="10" t="s">
        <v>39</v>
      </c>
    </row>
    <row r="2" spans="1:2">
      <c r="A2" s="10" t="s">
        <v>26</v>
      </c>
    </row>
    <row r="3" spans="1:2">
      <c r="A3" s="10" t="s">
        <v>27</v>
      </c>
      <c r="B3" s="10" t="s">
        <v>40</v>
      </c>
    </row>
    <row r="4" spans="1:2">
      <c r="A4" s="10" t="s">
        <v>28</v>
      </c>
    </row>
    <row r="5" spans="1:2">
      <c r="A5" s="10" t="s">
        <v>29</v>
      </c>
    </row>
    <row r="6" spans="1:2">
      <c r="A6" s="10" t="s">
        <v>30</v>
      </c>
    </row>
    <row r="7" spans="1:2">
      <c r="A7" s="10" t="s">
        <v>31</v>
      </c>
      <c r="B7" s="10" t="b">
        <v>0</v>
      </c>
    </row>
    <row r="8" spans="1:2">
      <c r="A8" s="10" t="s">
        <v>32</v>
      </c>
      <c r="B8" s="10" t="b">
        <v>0</v>
      </c>
    </row>
    <row r="9" spans="1:2">
      <c r="A9" s="10" t="s">
        <v>33</v>
      </c>
      <c r="B9" s="10" t="b">
        <v>0</v>
      </c>
    </row>
    <row r="13" spans="1:2" ht="15.6">
      <c r="A13" s="11" t="s">
        <v>34</v>
      </c>
    </row>
    <row r="14" spans="1:2">
      <c r="A14" s="10" t="s">
        <v>35</v>
      </c>
    </row>
    <row r="15" spans="1:2">
      <c r="A15" s="10" t="s">
        <v>36</v>
      </c>
    </row>
    <row r="16" spans="1:2">
      <c r="A16" s="10" t="s">
        <v>37</v>
      </c>
    </row>
    <row r="17" spans="1:1">
      <c r="A17" s="10" t="s">
        <v>38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PickFileAndPrintFullPath">
                <anchor moveWithCells="1" siz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4673F-ACEA-4692-BF0F-BA8D5FA1D835}">
  <sheetPr codeName="Sheet1"/>
  <dimension ref="A1:O40"/>
  <sheetViews>
    <sheetView tabSelected="1" workbookViewId="0">
      <selection activeCell="H23" sqref="H23"/>
    </sheetView>
  </sheetViews>
  <sheetFormatPr defaultColWidth="9.109375" defaultRowHeight="14.4"/>
  <cols>
    <col min="1" max="2" width="9.109375" style="8"/>
    <col min="3" max="3" width="12.33203125" style="8" customWidth="1"/>
    <col min="4" max="16384" width="9.109375" style="8"/>
  </cols>
  <sheetData>
    <row r="1" spans="1:12">
      <c r="A1" s="8" t="s">
        <v>10</v>
      </c>
      <c r="K1" s="8" t="s">
        <v>41</v>
      </c>
    </row>
    <row r="2" spans="1:12">
      <c r="K2" s="8" t="s">
        <v>42</v>
      </c>
    </row>
    <row r="3" spans="1:12">
      <c r="A3" s="8" t="s">
        <v>11</v>
      </c>
      <c r="F3" s="8">
        <v>22.151878</v>
      </c>
      <c r="G3" s="8" t="s">
        <v>12</v>
      </c>
      <c r="K3" s="8" t="s">
        <v>43</v>
      </c>
    </row>
    <row r="5" spans="1:12">
      <c r="B5" s="9" t="s">
        <v>13</v>
      </c>
    </row>
    <row r="7" spans="1:12">
      <c r="B7" s="8" t="s">
        <v>14</v>
      </c>
    </row>
    <row r="8" spans="1:12">
      <c r="B8" s="8" t="s">
        <v>15</v>
      </c>
    </row>
    <row r="9" spans="1:12">
      <c r="C9" s="8">
        <v>0</v>
      </c>
      <c r="D9" s="8" t="s">
        <v>16</v>
      </c>
    </row>
    <row r="10" spans="1:12">
      <c r="C10" s="8">
        <v>1</v>
      </c>
      <c r="D10" s="8" t="s">
        <v>17</v>
      </c>
      <c r="L10" s="8" t="s">
        <v>44</v>
      </c>
    </row>
    <row r="11" spans="1:12">
      <c r="C11" s="8">
        <v>2</v>
      </c>
      <c r="D11" s="8" t="s">
        <v>18</v>
      </c>
      <c r="L11" s="8" t="s">
        <v>54</v>
      </c>
    </row>
    <row r="13" spans="1:12">
      <c r="C13" s="8" t="s">
        <v>19</v>
      </c>
    </row>
    <row r="14" spans="1:12">
      <c r="K14" s="8" t="s">
        <v>45</v>
      </c>
    </row>
    <row r="15" spans="1:12">
      <c r="B15" s="8" t="s">
        <v>20</v>
      </c>
      <c r="C15" s="8" t="str" cm="1">
        <f t="array" ref="C15">FeetAndInches($F$3,2,0)</f>
        <v>22'-2</v>
      </c>
      <c r="D15" s="8" t="str">
        <f ca="1">_xlfn.FORMULATEXT(C15)</f>
        <v>=FeetAndInches(R3C6,2,0)</v>
      </c>
      <c r="K15" s="8" t="s">
        <v>46</v>
      </c>
    </row>
    <row r="16" spans="1:12">
      <c r="C16" s="8" t="str" cm="1">
        <f t="array" ref="C16">FeetAndInches($F$3,4,1)</f>
        <v>22'-1 3/4</v>
      </c>
      <c r="D16" s="8" t="str">
        <f t="shared" ref="D16:D20" ca="1" si="0">_xlfn.FORMULATEXT(C16)</f>
        <v>=FeetAndInches(R3C6,4,1)</v>
      </c>
    </row>
    <row r="17" spans="1:15">
      <c r="C17" s="8" t="str" cm="1">
        <f t="array" ref="C17">FeetAndInches($F$3,8,0)</f>
        <v>22'-1 7/8</v>
      </c>
      <c r="D17" s="8" t="str">
        <f t="shared" ca="1" si="0"/>
        <v>=FeetAndInches(R3C6,8,0)</v>
      </c>
      <c r="K17" s="8" t="str">
        <f>C18</f>
        <v>22'-1 13/16</v>
      </c>
      <c r="M17" s="8" t="s">
        <v>48</v>
      </c>
    </row>
    <row r="18" spans="1:15">
      <c r="C18" s="8" t="str" cm="1">
        <f t="array" ref="C18">FeetAndInches($F$3,16,0)</f>
        <v>22'-1 13/16</v>
      </c>
      <c r="D18" s="8" t="str">
        <f t="shared" ca="1" si="0"/>
        <v>=FeetAndInches(R3C6,16,0)</v>
      </c>
      <c r="K18" s="8" cm="1">
        <f t="array" ref="K18">FtInchesToDecimal(K17)</f>
        <v>22.151041666666668</v>
      </c>
      <c r="M18" s="8" t="s">
        <v>47</v>
      </c>
    </row>
    <row r="19" spans="1:15">
      <c r="C19" s="8" t="str" cm="1">
        <f t="array" ref="C19">FeetAndInches($F$3,32,0)</f>
        <v>22'-1 13/16</v>
      </c>
      <c r="D19" s="8" t="str">
        <f t="shared" ca="1" si="0"/>
        <v>=FeetAndInches(R3C6,32,0)</v>
      </c>
    </row>
    <row r="20" spans="1:15">
      <c r="C20" s="8" t="str" cm="1">
        <f t="array" ref="C20">FeetAndInches($F$3,16,2)</f>
        <v>265 13/16</v>
      </c>
      <c r="D20" s="8" t="str">
        <f t="shared" ca="1" si="0"/>
        <v>=FeetAndInches(R3C6,16,2)</v>
      </c>
      <c r="K20" s="8" t="s">
        <v>49</v>
      </c>
    </row>
    <row r="21" spans="1:15">
      <c r="K21" s="8" t="s">
        <v>50</v>
      </c>
    </row>
    <row r="23" spans="1:15">
      <c r="A23" s="8" t="s">
        <v>21</v>
      </c>
      <c r="F23" s="8">
        <v>22.151878</v>
      </c>
    </row>
    <row r="24" spans="1:15">
      <c r="K24" s="12">
        <f ca="1">10+10*RAND()</f>
        <v>19.142573130801733</v>
      </c>
      <c r="L24" s="8" t="s">
        <v>51</v>
      </c>
    </row>
    <row r="25" spans="1:15">
      <c r="B25" s="9" t="s">
        <v>22</v>
      </c>
    </row>
    <row r="26" spans="1:15">
      <c r="J26" s="13" t="s">
        <v>52</v>
      </c>
      <c r="K26" s="12">
        <v>2</v>
      </c>
      <c r="L26" s="12">
        <v>4</v>
      </c>
      <c r="M26" s="12">
        <v>8</v>
      </c>
      <c r="N26" s="12">
        <v>16</v>
      </c>
      <c r="O26" s="12">
        <v>32</v>
      </c>
    </row>
    <row r="27" spans="1:15">
      <c r="B27" s="8" t="s">
        <v>14</v>
      </c>
      <c r="J27" s="13" t="s">
        <v>53</v>
      </c>
      <c r="K27" s="14" t="str" cm="1">
        <f t="array" aca="1" ref="K27" ca="1">FeetAndInches($K$24,K26,0)</f>
        <v>19'-1 1/2</v>
      </c>
      <c r="L27" s="14" t="str" cm="1">
        <f t="array" aca="1" ref="L27" ca="1">FeetAndInches($K$24,L26,0)</f>
        <v>19'-1 3/4</v>
      </c>
      <c r="M27" s="14" t="str" cm="1">
        <f t="array" aca="1" ref="M27" ca="1">FeetAndInches($K$24,M26,0)</f>
        <v>19'-1 3/4</v>
      </c>
      <c r="N27" s="14" t="str" cm="1">
        <f t="array" aca="1" ref="N27" ca="1">FeetAndInches($K$24,N26,0)</f>
        <v>19'-1 11/16</v>
      </c>
      <c r="O27" s="14" t="str" cm="1">
        <f t="array" aca="1" ref="O27" ca="1">FeetAndInches($K$24,O26,0)</f>
        <v>19'-1 23/32</v>
      </c>
    </row>
    <row r="28" spans="1:15">
      <c r="B28" s="8" t="s">
        <v>15</v>
      </c>
      <c r="J28" s="13" t="s">
        <v>55</v>
      </c>
      <c r="K28" s="12" cm="1">
        <f t="array" aca="1" ref="K28" ca="1">FtInchesToDecimal(K27)</f>
        <v>19.125</v>
      </c>
      <c r="L28" s="12" cm="1">
        <f t="array" aca="1" ref="L28" ca="1">FtInchesToDecimal(L27)</f>
        <v>19.145833333333332</v>
      </c>
      <c r="M28" s="12" cm="1">
        <f t="array" aca="1" ref="M28" ca="1">FtInchesToDecimal(M27)</f>
        <v>19.145833333333332</v>
      </c>
      <c r="N28" s="12" cm="1">
        <f t="array" aca="1" ref="N28" ca="1">FtInchesToDecimal(N27)</f>
        <v>19.140625</v>
      </c>
      <c r="O28" s="12" cm="1">
        <f t="array" aca="1" ref="O28" ca="1">FtInchesToDecimal(O27)</f>
        <v>19.143229166666668</v>
      </c>
    </row>
    <row r="29" spans="1:15">
      <c r="C29" s="8">
        <v>3</v>
      </c>
      <c r="D29" s="8" t="s">
        <v>17</v>
      </c>
      <c r="J29" s="8" t="s">
        <v>56</v>
      </c>
      <c r="K29" s="15">
        <f ca="1">ABS(K28-$K$24)/$K$24</f>
        <v>9.1801299029419545E-4</v>
      </c>
      <c r="L29" s="15">
        <f t="shared" ref="L29:O29" ca="1" si="1">ABS(L28-$K$24)/$K$24</f>
        <v>1.7031161429147888E-4</v>
      </c>
      <c r="M29" s="15">
        <f t="shared" ca="1" si="1"/>
        <v>1.7031161429147888E-4</v>
      </c>
      <c r="N29" s="15">
        <f t="shared" ca="1" si="1"/>
        <v>1.017695368548933E-4</v>
      </c>
      <c r="O29" s="15">
        <f t="shared" ca="1" si="1"/>
        <v>3.4271038718385585E-5</v>
      </c>
    </row>
    <row r="30" spans="1:15">
      <c r="C30" s="8">
        <v>4</v>
      </c>
      <c r="D30" s="8" t="s">
        <v>23</v>
      </c>
    </row>
    <row r="31" spans="1:15">
      <c r="K31" s="8" t="s">
        <v>57</v>
      </c>
    </row>
    <row r="33" spans="2:4">
      <c r="C33" s="8" t="s">
        <v>24</v>
      </c>
    </row>
    <row r="35" spans="2:4">
      <c r="B35" s="8" t="s">
        <v>20</v>
      </c>
      <c r="C35" s="8" t="str" cm="1">
        <f t="array" ref="C35">FeetAndInches($F$3,4,3)</f>
        <v>1'-10 1/4</v>
      </c>
      <c r="D35" s="8" t="str">
        <f ca="1">_xlfn.FORMULATEXT(C35)</f>
        <v>=FeetAndInches(R3C6,4,3)</v>
      </c>
    </row>
    <row r="36" spans="2:4">
      <c r="C36" s="8" t="str" cm="1">
        <f t="array" ref="C36">FeetAndInches($F$3,8,3)</f>
        <v>1'-10 1/8</v>
      </c>
      <c r="D36" s="8" t="str">
        <f t="shared" ref="D36:D40" ca="1" si="2">_xlfn.FORMULATEXT(C36)</f>
        <v>=FeetAndInches(R3C6,8,3)</v>
      </c>
    </row>
    <row r="37" spans="2:4">
      <c r="C37" s="8" t="str" cm="1">
        <f t="array" ref="C37">FeetAndInches($F$3,16,3)</f>
        <v>1'-10 1/8</v>
      </c>
      <c r="D37" s="8" t="str">
        <f t="shared" ca="1" si="2"/>
        <v>=FeetAndInches(R3C6,16,3)</v>
      </c>
    </row>
    <row r="38" spans="2:4">
      <c r="C38" s="8" t="str" cm="1">
        <f t="array" ref="C38">FeetAndInches($F$3,4,4)</f>
        <v>22 1/4</v>
      </c>
      <c r="D38" s="8" t="str">
        <f t="shared" ca="1" si="2"/>
        <v>=FeetAndInches(R3C6,4,4)</v>
      </c>
    </row>
    <row r="39" spans="2:4">
      <c r="C39" s="8" t="str" cm="1">
        <f t="array" ref="C39">FeetAndInches($F$3,8,4)</f>
        <v>22 1/8</v>
      </c>
      <c r="D39" s="8" t="str">
        <f t="shared" ca="1" si="2"/>
        <v>=FeetAndInches(R3C6,8,4)</v>
      </c>
    </row>
    <row r="40" spans="2:4">
      <c r="C40" s="8" t="str" cm="1">
        <f t="array" ref="C40">FeetAndInches($F$3,16,4)</f>
        <v>22 1/8</v>
      </c>
      <c r="D40" s="8" t="str">
        <f t="shared" ca="1" si="2"/>
        <v>=FeetAndInches(R3C6,16,4)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ickFileAndPrintFullPath">
                <anchor moveWithCells="1" sizeWithCells="1">
                  <from>
                    <xdr:col>10</xdr:col>
                    <xdr:colOff>464820</xdr:colOff>
                    <xdr:row>4</xdr:row>
                    <xdr:rowOff>0</xdr:rowOff>
                  </from>
                  <to>
                    <xdr:col>13</xdr:col>
                    <xdr:colOff>464820</xdr:colOff>
                    <xdr:row>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xlwings.conf</vt:lpstr>
      <vt:lpstr>Cool Things this Workbook Does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Lynes, William</dc:creator>
  <cp:lastModifiedBy>Lynes, Will</cp:lastModifiedBy>
  <dcterms:created xsi:type="dcterms:W3CDTF">2022-12-16T17:35:37Z</dcterms:created>
  <dcterms:modified xsi:type="dcterms:W3CDTF">2022-12-26T16:07:46Z</dcterms:modified>
</cp:coreProperties>
</file>