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lynes\OneDrive - high.net\Templates\Excel\"/>
    </mc:Choice>
  </mc:AlternateContent>
  <xr:revisionPtr revIDLastSave="0" documentId="8_{FAA16754-3117-4675-B163-B3A5E052DCFE}" xr6:coauthVersionLast="47" xr6:coauthVersionMax="47" xr10:uidLastSave="{00000000-0000-0000-0000-000000000000}"/>
  <bookViews>
    <workbookView xWindow="28680" yWindow="-120" windowWidth="29040" windowHeight="15840" xr2:uid="{A94994C5-5A8B-4E5A-AE06-89C2DEB94A5F}"/>
  </bookViews>
  <sheets>
    <sheet name="Instructions" sheetId="2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0" i="2" l="1" a="1"/>
  <c r="C39" i="2" a="1"/>
  <c r="C38" i="2" a="1"/>
  <c r="C37" i="2" a="1"/>
  <c r="C36" i="2" a="1"/>
  <c r="C35" i="2" a="1"/>
  <c r="C20" i="2" a="1"/>
  <c r="C19" i="2" a="1"/>
  <c r="C18" i="2" a="1"/>
  <c r="C17" i="2" a="1"/>
  <c r="C16" i="2" a="1"/>
  <c r="C15" i="2" a="1"/>
  <c r="D19" i="2"/>
  <c r="D15" i="2"/>
  <c r="D17" i="2"/>
  <c r="D18" i="2"/>
  <c r="D20" i="2"/>
  <c r="D16" i="2"/>
  <c r="D39" i="2"/>
  <c r="D35" i="2"/>
  <c r="D40" i="2"/>
  <c r="D38" i="2"/>
  <c r="D36" i="2"/>
  <c r="D37" i="2"/>
  <c r="C40" i="2" l="1"/>
  <c r="C39" i="2"/>
  <c r="C38" i="2"/>
  <c r="C37" i="2"/>
  <c r="C36" i="2"/>
  <c r="C35" i="2"/>
  <c r="C20" i="2"/>
  <c r="C19" i="2"/>
  <c r="C18" i="2"/>
  <c r="C17" i="2"/>
  <c r="C16" i="2"/>
  <c r="C1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<sst xmlns="http://schemas.openxmlformats.org/spreadsheetml/2006/main" count="19" uniqueCount="15">
  <si>
    <t>This macro-enabled workbook contains the HSS "Feet and Inches" custom function.</t>
  </si>
  <si>
    <t>Consider the following dimension (in decimal feet)</t>
  </si>
  <si>
    <t>ft</t>
  </si>
  <si>
    <t>=FeetAndInches(Feet Decimal Input, Precision, Number Format)</t>
  </si>
  <si>
    <t>Precision -- Only powers of '2' are allowed</t>
  </si>
  <si>
    <t>Number Format</t>
  </si>
  <si>
    <t>Feet and inches and fraction (if no feet, inches only)</t>
  </si>
  <si>
    <t>Feet and inches fraction</t>
  </si>
  <si>
    <t>Inches and Fraction Only</t>
  </si>
  <si>
    <t>Note:  Don't use 3 or 4 when the input is in feet</t>
  </si>
  <si>
    <t>Examples</t>
  </si>
  <si>
    <t>Consider the following dimension (in decimal inches)</t>
  </si>
  <si>
    <t>Inches fraction only</t>
  </si>
  <si>
    <t>Note:  Don't use 0 thru 3 when the input is in inches</t>
  </si>
  <si>
    <t>=FeetAndInches(Inches Decimal Input, Precision, Number Format)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</si>
</sst>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0C465-7BA2-4585-B9BB-C03043526232}">
  <sheetPr codeName="Sheet1"/>
  <dimension ref="A1:G40"/>
  <sheetViews>
    <sheetView tabSelected="1" topLeftCell="A22" workbookViewId="0">
      <selection activeCell="B26" sqref="B26"/>
    </sheetView>
  </sheetViews>
  <sheetFormatPr defaultRowHeight="15" x14ac:dyDescent="0.25"/>
  <cols>
    <col min="3" max="3" width="12.28515625" customWidth="1"/>
  </cols>
  <sheetData>
    <row r="1" spans="1:7" x14ac:dyDescent="0.25">
      <c r="A1" t="s">
        <v>0</v>
      </c>
    </row>
    <row r="3" spans="1:7" x14ac:dyDescent="0.25">
      <c r="A3" t="s">
        <v>1</v>
      </c>
      <c r="F3">
        <v>22.151878</v>
      </c>
      <c r="G3" t="s">
        <v>2</v>
      </c>
    </row>
    <row r="5" spans="1:7" x14ac:dyDescent="0.25">
      <c r="B5" s="1" t="s">
        <v>3</v>
      </c>
    </row>
    <row r="7" spans="1:7" x14ac:dyDescent="0.25">
      <c r="B7" t="s">
        <v>4</v>
      </c>
    </row>
    <row r="8" spans="1:7" x14ac:dyDescent="0.25">
      <c r="B8" t="s">
        <v>5</v>
      </c>
    </row>
    <row r="9" spans="1:7" x14ac:dyDescent="0.25">
      <c r="C9">
        <v>0</v>
      </c>
      <c r="D9" t="s">
        <v>6</v>
      </c>
    </row>
    <row r="10" spans="1:7" x14ac:dyDescent="0.25">
      <c r="C10">
        <v>1</v>
      </c>
      <c r="D10" t="s">
        <v>7</v>
      </c>
    </row>
    <row r="11" spans="1:7" x14ac:dyDescent="0.25">
      <c r="C11">
        <v>2</v>
      </c>
      <c r="D11" t="s">
        <v>8</v>
      </c>
    </row>
    <row r="13" spans="1:7" x14ac:dyDescent="0.25">
      <c r="C13" t="s">
        <v>9</v>
      </c>
    </row>
    <row r="15" spans="1:7" x14ac:dyDescent="0.25">
      <c r="B15" t="s">
        <v>10</v>
      </c>
      <c r="C15" t="str" cm="1">
        <f t="array" ref="C15">FeetAndInches($F$3,2,0)</f>
        <v>22'-2</v>
      </c>
      <c r="D15" t="str">
        <f ca="1">_xlfn.FORMULATEXT(C15)</f>
        <v>=FeetAndInches($F$3,2,0)</v>
      </c>
    </row>
    <row r="16" spans="1:7" x14ac:dyDescent="0.25">
      <c r="C16" t="str" cm="1">
        <f t="array" ref="C16">FeetAndInches($F$3,4,1)</f>
        <v>22'-1 3/4</v>
      </c>
      <c r="D16" t="str">
        <f t="shared" ref="D16:D20" ca="1" si="0">_xlfn.FORMULATEXT(C16)</f>
        <v>=FeetAndInches($F$3,4,1)</v>
      </c>
    </row>
    <row r="17" spans="1:6" x14ac:dyDescent="0.25">
      <c r="C17" t="str" cm="1">
        <f t="array" ref="C17">FeetAndInches($F$3,8,0)</f>
        <v>22'-1 7/8</v>
      </c>
      <c r="D17" t="str">
        <f t="shared" ca="1" si="0"/>
        <v>=FeetAndInches($F$3,8,0)</v>
      </c>
    </row>
    <row r="18" spans="1:6" x14ac:dyDescent="0.25">
      <c r="C18" t="str" cm="1">
        <f t="array" ref="C18">FeetAndInches($F$3,16,0)</f>
        <v>22'-1 13/16</v>
      </c>
      <c r="D18" t="str">
        <f t="shared" ca="1" si="0"/>
        <v>=FeetAndInches($F$3,16,0)</v>
      </c>
    </row>
    <row r="19" spans="1:6" x14ac:dyDescent="0.25">
      <c r="C19" t="str" cm="1">
        <f t="array" ref="C19">FeetAndInches($F$3,32,0)</f>
        <v>22'-1 13/16</v>
      </c>
      <c r="D19" t="str">
        <f t="shared" ca="1" si="0"/>
        <v>=FeetAndInches($F$3,32,0)</v>
      </c>
    </row>
    <row r="20" spans="1:6" x14ac:dyDescent="0.25">
      <c r="C20" t="str" cm="1">
        <f t="array" ref="C20">FeetAndInches($F$3,16,2)</f>
        <v>265 13/16</v>
      </c>
      <c r="D20" t="str">
        <f t="shared" ca="1" si="0"/>
        <v>=FeetAndInches($F$3,16,2)</v>
      </c>
    </row>
    <row r="23" spans="1:6" x14ac:dyDescent="0.25">
      <c r="A23" t="s">
        <v>11</v>
      </c>
      <c r="F23">
        <v>22.151878</v>
      </c>
    </row>
    <row r="25" spans="1:6" x14ac:dyDescent="0.25">
      <c r="B25" s="1" t="s">
        <v>14</v>
      </c>
    </row>
    <row r="27" spans="1:6" x14ac:dyDescent="0.25">
      <c r="B27" t="s">
        <v>4</v>
      </c>
    </row>
    <row r="28" spans="1:6" x14ac:dyDescent="0.25">
      <c r="B28" t="s">
        <v>5</v>
      </c>
    </row>
    <row r="29" spans="1:6" x14ac:dyDescent="0.25">
      <c r="C29">
        <v>3</v>
      </c>
      <c r="D29" t="s">
        <v>7</v>
      </c>
    </row>
    <row r="30" spans="1:6" x14ac:dyDescent="0.25">
      <c r="C30">
        <v>4</v>
      </c>
      <c r="D30" t="s">
        <v>12</v>
      </c>
    </row>
    <row r="33" spans="2:4" x14ac:dyDescent="0.25">
      <c r="C33" t="s">
        <v>13</v>
      </c>
    </row>
    <row r="35" spans="2:4" x14ac:dyDescent="0.25">
      <c r="B35" t="s">
        <v>10</v>
      </c>
      <c r="C35" t="str" cm="1">
        <f t="array" ref="C35">FeetAndInches($F$3,4,3)</f>
        <v>1'-10 1/4</v>
      </c>
      <c r="D35" t="str">
        <f ca="1">_xlfn.FORMULATEXT(C35)</f>
        <v>=FeetAndInches($F$3,4,3)</v>
      </c>
    </row>
    <row r="36" spans="2:4" x14ac:dyDescent="0.25">
      <c r="C36" t="str" cm="1">
        <f t="array" ref="C36">FeetAndInches($F$3,8,3)</f>
        <v>1'-10 1/8</v>
      </c>
      <c r="D36" t="str">
        <f t="shared" ref="D36:D40" ca="1" si="1">_xlfn.FORMULATEXT(C36)</f>
        <v>=FeetAndInches($F$3,8,3)</v>
      </c>
    </row>
    <row r="37" spans="2:4" x14ac:dyDescent="0.25">
      <c r="C37" t="str" cm="1">
        <f t="array" ref="C37">FeetAndInches($F$3,16,3)</f>
        <v>1'-10 1/8</v>
      </c>
      <c r="D37" t="str">
        <f t="shared" ca="1" si="1"/>
        <v>=FeetAndInches($F$3,16,3)</v>
      </c>
    </row>
    <row r="38" spans="2:4" x14ac:dyDescent="0.25">
      <c r="C38" t="str" cm="1">
        <f t="array" ref="C38">FeetAndInches($F$3,4,4)</f>
        <v>22 1/4</v>
      </c>
      <c r="D38" t="str">
        <f t="shared" ca="1" si="1"/>
        <v>=FeetAndInches($F$3,4,4)</v>
      </c>
    </row>
    <row r="39" spans="2:4" x14ac:dyDescent="0.25">
      <c r="C39" t="str" cm="1">
        <f t="array" ref="C39">FeetAndInches($F$3,8,4)</f>
        <v>22 1/8</v>
      </c>
      <c r="D39" t="str">
        <f t="shared" ca="1" si="1"/>
        <v>=FeetAndInches($F$3,8,4)</v>
      </c>
    </row>
    <row r="40" spans="2:4" x14ac:dyDescent="0.25">
      <c r="C40" t="str" cm="1">
        <f t="array" ref="C40">FeetAndInches($F$3,16,4)</f>
        <v>22 1/8</v>
      </c>
      <c r="D40" t="str">
        <f t="shared" ca="1" si="1"/>
        <v>=FeetAndInches($F$3,16,4)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5351A-C250-42DB-9128-8C03C1EAA56D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Lynes, William</dc:creator>
  <cp:lastModifiedBy>Lynes, Will</cp:lastModifiedBy>
  <dcterms:created xsi:type="dcterms:W3CDTF">2022-08-23T14:12:48Z</dcterms:created>
  <dcterms:modified xsi:type="dcterms:W3CDTF">2022-08-24T09:52:54Z</dcterms:modified>
</cp:coreProperties>
</file>